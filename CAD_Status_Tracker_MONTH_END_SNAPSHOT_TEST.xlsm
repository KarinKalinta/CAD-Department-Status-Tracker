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All\CAD Status\"/>
    </mc:Choice>
  </mc:AlternateContent>
  <xr:revisionPtr revIDLastSave="0" documentId="13_ncr:1_{9C2E0C7D-A37D-465F-8F6D-EAE24AE2AC7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CAD Archive TEST" sheetId="5" r:id="rId2"/>
    <sheet name="Month-End Snapshot TEST" sheetId="6" r:id="rId3"/>
    <sheet name="CAD Tracker" sheetId="2" r:id="rId4"/>
    <sheet name="Lists hidden" sheetId="3" r:id="rId5"/>
    <sheet name="README" sheetId="4" r:id="rId6"/>
  </sheets>
  <definedNames>
    <definedName name="CADTracker_Batch_ID">'CAD Tracker'!$C$2:$C$199</definedName>
    <definedName name="CADTracker_Deliverable_Type">'CAD Tracker'!$F$2:$F$199</definedName>
    <definedName name="CADTracker_Item">'CAD Tracker'!$D$2:$D$199</definedName>
    <definedName name="CADTracker_Owner">'CAD Tracker'!$K$2:$K$199</definedName>
    <definedName name="CADTracker_Plan_End">'CAD Tracker'!$N$2:$N$199</definedName>
    <definedName name="CADTracker_Priority">'CAD Tracker'!$L$2:$L$199</definedName>
    <definedName name="CADTracker_Project">'CAD Tracker'!$B$2:$B$199</definedName>
    <definedName name="CADTracker_Qty">'CAD Tracker'!$I$2:$I$199</definedName>
    <definedName name="CADTracker_Request_Type">'CAD Tracker'!$E$2:$E$199</definedName>
    <definedName name="CADTracker_Start_Date">'CAD Tracker'!$M$2:$M$199</definedName>
    <definedName name="CADTracker_Status">'CAD Tracker'!$J$2:$J$199</definedName>
    <definedName name="CADTracker_Task">'CAD Tracker'!$H$2:$H$199</definedName>
    <definedName name="CADTracker_Tracker_ID">'CAD Tracker'!$G$2:$G$199</definedName>
    <definedName name="CADTracker_WE">'CAD Tracker'!$A$2:$A$199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" i="6" l="1" a="1"/>
  <c r="S10" i="6" s="1"/>
  <c r="R10" i="6" a="1"/>
  <c r="R10" i="6" s="1"/>
  <c r="S9" i="6" a="1"/>
  <c r="S9" i="6" s="1"/>
  <c r="R9" i="6" a="1"/>
  <c r="R9" i="6" s="1"/>
  <c r="S8" i="6" a="1"/>
  <c r="S8" i="6" s="1"/>
  <c r="R8" i="6" a="1"/>
  <c r="R8" i="6" s="1"/>
  <c r="S7" i="6" a="1"/>
  <c r="S7" i="6" s="1"/>
  <c r="R7" i="6" a="1"/>
  <c r="R7" i="6" s="1"/>
  <c r="S6" i="6" a="1"/>
  <c r="S6" i="6" s="1"/>
  <c r="R6" i="6" a="1"/>
  <c r="R6" i="6" s="1"/>
  <c r="H16" i="1" a="1"/>
  <c r="H16" i="1" s="1"/>
  <c r="H17" i="1" a="1"/>
  <c r="H17" i="1" s="1"/>
  <c r="H18" i="1" a="1"/>
  <c r="H18" i="1" s="1"/>
  <c r="H19" i="1" a="1"/>
  <c r="H19" i="1" s="1"/>
  <c r="H15" i="1" a="1"/>
  <c r="H15" i="1" s="1"/>
  <c r="G16" i="1" a="1"/>
  <c r="G16" i="1" s="1"/>
  <c r="G17" i="1" a="1"/>
  <c r="G17" i="1" s="1"/>
  <c r="G18" i="1" a="1"/>
  <c r="G18" i="1" s="1"/>
  <c r="G19" i="1" a="1"/>
  <c r="G19" i="1" s="1"/>
  <c r="G15" i="1" a="1"/>
  <c r="G15" i="1" s="1"/>
  <c r="M19" i="1" a="1"/>
  <c r="M19" i="1" s="1"/>
  <c r="L19" i="1" a="1"/>
  <c r="L19" i="1" s="1"/>
  <c r="M18" i="1" a="1"/>
  <c r="M18" i="1" s="1"/>
  <c r="L18" i="1" a="1"/>
  <c r="L18" i="1" s="1"/>
  <c r="M17" i="1" a="1"/>
  <c r="M17" i="1" s="1"/>
  <c r="L17" i="1" a="1"/>
  <c r="L17" i="1" s="1"/>
  <c r="M16" i="1" a="1"/>
  <c r="M16" i="1" s="1"/>
  <c r="L16" i="1" a="1"/>
  <c r="L16" i="1" s="1"/>
  <c r="M15" i="1" a="1"/>
  <c r="M15" i="1" s="1"/>
  <c r="L15" i="1" a="1"/>
  <c r="L15" i="1" s="1"/>
  <c r="I33" i="1"/>
  <c r="H33" i="1"/>
  <c r="F33" i="1"/>
  <c r="G33" i="1" s="1"/>
  <c r="E33" i="1"/>
  <c r="I32" i="1"/>
  <c r="H32" i="1"/>
  <c r="F32" i="1"/>
  <c r="G32" i="1" s="1"/>
  <c r="E32" i="1"/>
  <c r="I31" i="1"/>
  <c r="H31" i="1"/>
  <c r="F31" i="1"/>
  <c r="G31" i="1" s="1"/>
  <c r="E31" i="1"/>
  <c r="I30" i="1"/>
  <c r="H30" i="1"/>
  <c r="F30" i="1"/>
  <c r="G30" i="1" s="1"/>
  <c r="E30" i="1"/>
  <c r="I29" i="1"/>
  <c r="H29" i="1"/>
  <c r="F29" i="1"/>
  <c r="G29" i="1" s="1"/>
  <c r="E29" i="1"/>
  <c r="I28" i="1"/>
  <c r="H28" i="1"/>
  <c r="F28" i="1"/>
  <c r="G28" i="1" s="1"/>
  <c r="E28" i="1"/>
  <c r="I27" i="1"/>
  <c r="H27" i="1"/>
  <c r="F27" i="1"/>
  <c r="G27" i="1" s="1"/>
  <c r="E27" i="1"/>
  <c r="I26" i="1"/>
  <c r="H26" i="1"/>
  <c r="F26" i="1"/>
  <c r="G26" i="1" s="1"/>
  <c r="E26" i="1"/>
  <c r="I25" i="1"/>
  <c r="F25" i="1"/>
  <c r="G25" i="1" s="1"/>
  <c r="E25" i="1"/>
  <c r="M20" i="1"/>
  <c r="L20" i="1"/>
  <c r="H20" i="1" a="1"/>
  <c r="H20" i="1" s="1"/>
  <c r="G20" i="1"/>
  <c r="D20" i="1"/>
  <c r="C20" i="1"/>
  <c r="D19" i="1"/>
  <c r="C19" i="1"/>
  <c r="D18" i="1"/>
  <c r="C18" i="1"/>
  <c r="D17" i="1"/>
  <c r="C17" i="1"/>
  <c r="D16" i="1"/>
  <c r="C16" i="1"/>
  <c r="D15" i="1"/>
  <c r="C15" i="1"/>
  <c r="I7" i="1"/>
  <c r="G7" i="1"/>
  <c r="E7" i="1"/>
  <c r="C7" i="1"/>
  <c r="K4" i="1"/>
  <c r="I4" i="1"/>
  <c r="G4" i="1"/>
  <c r="E4" i="1"/>
  <c r="C4" i="1"/>
  <c r="N63" i="1" l="1"/>
  <c r="L63" i="1"/>
  <c r="K63" i="1"/>
  <c r="M63" i="1"/>
  <c r="J63" i="1"/>
  <c r="I63" i="1"/>
  <c r="P63" i="1"/>
  <c r="O63" i="1"/>
  <c r="P64" i="1" l="1"/>
  <c r="O64" i="1"/>
  <c r="N64" i="1"/>
  <c r="M64" i="1"/>
  <c r="L64" i="1"/>
  <c r="K64" i="1"/>
  <c r="J64" i="1"/>
  <c r="I64" i="1"/>
  <c r="L65" i="1" l="1"/>
  <c r="J65" i="1"/>
  <c r="K65" i="1"/>
  <c r="I65" i="1"/>
  <c r="P65" i="1"/>
  <c r="O65" i="1"/>
  <c r="N65" i="1"/>
  <c r="M65" i="1"/>
  <c r="O66" i="1" l="1"/>
  <c r="N66" i="1"/>
  <c r="M66" i="1"/>
  <c r="L66" i="1"/>
  <c r="P66" i="1"/>
  <c r="K66" i="1"/>
  <c r="J66" i="1"/>
  <c r="I66" i="1"/>
  <c r="J67" i="1" l="1"/>
  <c r="I67" i="1"/>
  <c r="P67" i="1"/>
  <c r="O67" i="1"/>
  <c r="N67" i="1"/>
  <c r="M67" i="1"/>
  <c r="L67" i="1"/>
  <c r="K67" i="1"/>
  <c r="O68" i="1" l="1"/>
  <c r="N68" i="1"/>
  <c r="P68" i="1"/>
  <c r="M68" i="1"/>
  <c r="L68" i="1"/>
  <c r="K68" i="1"/>
  <c r="J68" i="1"/>
  <c r="I68" i="1"/>
  <c r="P69" i="1" l="1"/>
  <c r="O69" i="1"/>
  <c r="N69" i="1"/>
  <c r="M69" i="1"/>
  <c r="L69" i="1"/>
  <c r="K69" i="1"/>
  <c r="J69" i="1"/>
  <c r="I69" i="1"/>
  <c r="H67" i="1"/>
  <c r="H68" i="1"/>
  <c r="H64" i="1"/>
  <c r="H69" i="1"/>
  <c r="H65" i="1"/>
  <c r="H63" i="1"/>
  <c r="H66" i="1"/>
  <c r="I15" i="1"/>
  <c r="I18" i="1"/>
  <c r="I19" i="1"/>
  <c r="I12" i="1"/>
  <c r="I16" i="1"/>
  <c r="I14" i="1"/>
  <c r="I13" i="1"/>
  <c r="I11" i="1"/>
  <c r="I17" i="1"/>
  <c r="I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<sst xmlns="http://schemas.openxmlformats.org/spreadsheetml/2006/main" count="730" uniqueCount="96">
  <si>
    <t>CAD Batch Status Dashboard</t>
  </si>
  <si>
    <t>Total Tasks</t>
  </si>
  <si>
    <t>Total Items</t>
  </si>
  <si>
    <t>Active Tasks</t>
  </si>
  <si>
    <t>Waiting</t>
  </si>
  <si>
    <t>In Progress</t>
  </si>
  <si>
    <t>Checking</t>
  </si>
  <si>
    <t>Blocked</t>
  </si>
  <si>
    <t>Done</t>
  </si>
  <si>
    <t>Overdue</t>
  </si>
  <si>
    <t>Due This Week</t>
  </si>
  <si>
    <t>Priority</t>
  </si>
  <si>
    <t>Project / Collection</t>
  </si>
  <si>
    <t>Item / Design No.</t>
  </si>
  <si>
    <t>Task</t>
  </si>
  <si>
    <t>Qty</t>
  </si>
  <si>
    <t>Status</t>
  </si>
  <si>
    <t>Owner</t>
  </si>
  <si>
    <t>Plan End</t>
  </si>
  <si>
    <t>Status Summary</t>
  </si>
  <si>
    <t>Request Type Split</t>
  </si>
  <si>
    <t>Deliverable Type Split</t>
  </si>
  <si>
    <t>Task Count</t>
  </si>
  <si>
    <t>Item Count</t>
  </si>
  <si>
    <t>Request Type</t>
  </si>
  <si>
    <t>Deliverable Type</t>
  </si>
  <si>
    <t>Initial Request</t>
  </si>
  <si>
    <t>CAD File</t>
  </si>
  <si>
    <t>New Request</t>
  </si>
  <si>
    <t>Render</t>
  </si>
  <si>
    <t>Revision</t>
  </si>
  <si>
    <t>Sample</t>
  </si>
  <si>
    <t>Follow-up</t>
  </si>
  <si>
    <t>Existing Sketch</t>
  </si>
  <si>
    <t>Internal Fix</t>
  </si>
  <si>
    <t>Photo</t>
  </si>
  <si>
    <t>Cancelled</t>
  </si>
  <si>
    <t>File Check</t>
  </si>
  <si>
    <t>Owner Workload</t>
  </si>
  <si>
    <t>Active Items</t>
  </si>
  <si>
    <t>Batch ID</t>
  </si>
  <si>
    <t>CAD1</t>
  </si>
  <si>
    <t>CAD2</t>
  </si>
  <si>
    <t>CAD3</t>
  </si>
  <si>
    <t>CAD4</t>
  </si>
  <si>
    <t>CAD5</t>
  </si>
  <si>
    <t>CAD6</t>
  </si>
  <si>
    <t>Outsource CAD</t>
  </si>
  <si>
    <t>Sdesign</t>
  </si>
  <si>
    <t>Design 2</t>
  </si>
  <si>
    <t>Worker ID</t>
  </si>
  <si>
    <t>WE</t>
  </si>
  <si>
    <t>Start Date</t>
  </si>
  <si>
    <t>BATCH-001</t>
  </si>
  <si>
    <t>2026-W27</t>
  </si>
  <si>
    <t>C0634</t>
  </si>
  <si>
    <t>Art 01-20</t>
  </si>
  <si>
    <t>Pendant CAD</t>
  </si>
  <si>
    <t>Urgent</t>
  </si>
  <si>
    <t>2026-06-29</t>
  </si>
  <si>
    <t>BATCH-002</t>
  </si>
  <si>
    <t>C0553-F</t>
  </si>
  <si>
    <t>Art 01</t>
  </si>
  <si>
    <t>Pendant CAD revision</t>
  </si>
  <si>
    <t>High</t>
  </si>
  <si>
    <t>Art 02</t>
  </si>
  <si>
    <t>2026-07-03</t>
  </si>
  <si>
    <t>Art 03</t>
  </si>
  <si>
    <t>PD CAD Investigation</t>
  </si>
  <si>
    <t>Check set</t>
  </si>
  <si>
    <t>CAD file naming audit</t>
  </si>
  <si>
    <t>Normal</t>
  </si>
  <si>
    <t>2026-06-30</t>
  </si>
  <si>
    <t>2026-07-04</t>
  </si>
  <si>
    <t>Low</t>
  </si>
  <si>
    <t>CAD Batch-Aware Tracker README</t>
  </si>
  <si>
    <t>One row = one trackable work unit.</t>
  </si>
  <si>
    <t>Use one row with Qty &gt; 1 if the whole batch moves together.</t>
  </si>
  <si>
    <t>Use multiple rows with the same Batch ID if items move separately.</t>
  </si>
  <si>
    <t>Task must be filled for dashboard counting.</t>
  </si>
  <si>
    <t>Qty controls item-based progress. If Qty is blank, dashboard formulas treat it as 1.</t>
  </si>
  <si>
    <t>Worker ID is auto-generated from the row when Task is filled.</t>
  </si>
  <si>
    <t>Batch ID can be blank for single non-batch tasks.</t>
  </si>
  <si>
    <t>Workload View</t>
  </si>
  <si>
    <t>Archive Ready</t>
  </si>
  <si>
    <t>No</t>
  </si>
  <si>
    <t>Yes</t>
  </si>
  <si>
    <t>MONTH-END SNAPSHOT</t>
  </si>
  <si>
    <t>Copies live CADTracker rows without deleting anything</t>
  </si>
  <si>
    <t>Month-End Snapshot TEST</t>
  </si>
  <si>
    <t>Captured</t>
  </si>
  <si>
    <t>Monthly Outcome Summary</t>
  </si>
  <si>
    <t>Outcome</t>
  </si>
  <si>
    <t>Completed</t>
  </si>
  <si>
    <t>Missed / Carry Over</t>
  </si>
  <si>
    <t>Still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</si>
</sst>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7" formatCode="[$-409]d\ mmm\ yy"/>
    <numFmt numFmtId="188" formatCode="yyyy\-mm\-dd"/>
  </numFmts>
  <fonts count="34" x14ac:knownFonts="1">
    <font>
      <sz val="11"/>
      <color theme="1"/>
      <name val="Tahoma"/>
      <family val="2"/>
      <scheme val="minor"/>
    </font>
    <font>
      <b/>
      <sz val="10"/>
      <color rgb="FFFFFFFF"/>
      <name val="Aptos"/>
    </font>
    <font>
      <sz val="10"/>
      <name val="Aptos"/>
    </font>
    <font>
      <b/>
      <sz val="16"/>
      <name val="Aptos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sz val="10"/>
      <color rgb="FF1E3A8A"/>
      <name val="Aptos"/>
      <family val="2"/>
    </font>
    <font>
      <sz val="10"/>
      <color rgb="FF166534"/>
      <name val="Aptos"/>
      <family val="2"/>
    </font>
    <font>
      <sz val="10"/>
      <color rgb="FF9A3412"/>
      <name val="Aptos"/>
      <family val="2"/>
    </font>
    <font>
      <sz val="10"/>
      <color rgb="FF991B1B"/>
      <name val="Aptos"/>
      <family val="2"/>
    </font>
    <font>
      <sz val="10"/>
      <color rgb="FF9D174D"/>
      <name val="Aptos"/>
      <family val="2"/>
    </font>
    <font>
      <sz val="10"/>
      <color rgb="FF5B21B6"/>
      <name val="Aptos"/>
      <family val="2"/>
    </font>
    <font>
      <sz val="10"/>
      <color rgb="FF6B21A8"/>
      <name val="Aptos"/>
      <family val="2"/>
    </font>
    <font>
      <sz val="10"/>
      <color rgb="FF374151"/>
      <name val="Aptos"/>
      <family val="2"/>
    </font>
    <font>
      <sz val="10"/>
      <name val="Aptos"/>
      <family val="2"/>
    </font>
    <font>
      <sz val="10"/>
      <color rgb="FF7F1D1D"/>
      <name val="Aptos"/>
      <family val="2"/>
    </font>
    <font>
      <b/>
      <sz val="9"/>
      <color rgb="FFFFFFFF"/>
      <name val="Tahoma"/>
      <family val="2"/>
      <scheme val="minor"/>
    </font>
    <font>
      <sz val="9"/>
      <color theme="1"/>
      <name val="Tahoma"/>
      <family val="2"/>
      <scheme val="minor"/>
    </font>
    <font>
      <b/>
      <sz val="16"/>
      <color rgb="FFFFFFFF"/>
      <name val="Aptos"/>
      <family val="2"/>
    </font>
    <font>
      <b/>
      <sz val="16"/>
      <name val="Aptos"/>
      <family val="2"/>
      <charset val="222"/>
    </font>
    <font>
      <b/>
      <sz val="16"/>
      <color theme="1"/>
      <name val="Tahoma"/>
      <family val="2"/>
      <charset val="222"/>
      <scheme val="minor"/>
    </font>
    <font>
      <sz val="10"/>
      <color rgb="FFFFFFFF"/>
      <name val="Tahoma"/>
      <family val="2"/>
      <scheme val="minor"/>
    </font>
    <font>
      <sz val="11"/>
      <color rgb="FF008000"/>
      <name val="Tahoma"/>
      <family val="2"/>
      <scheme val="minor"/>
    </font>
    <font>
      <sz val="11"/>
      <color rgb="FF7F6000"/>
      <name val="Tahoma"/>
      <family val="2"/>
      <scheme val="minor"/>
    </font>
    <font>
      <sz val="11"/>
      <color rgb="FF1F4E78"/>
      <name val="Tahoma"/>
      <family val="2"/>
      <scheme val="minor"/>
    </font>
    <font>
      <sz val="11"/>
      <color rgb="FF7030A0"/>
      <name val="Tahoma"/>
      <family val="2"/>
      <scheme val="minor"/>
    </font>
    <font>
      <sz val="11"/>
      <color rgb="FFC00000"/>
      <name val="Tahoma"/>
      <family val="2"/>
      <scheme val="minor"/>
    </font>
    <font>
      <sz val="11"/>
      <color rgb="FF1F2937"/>
      <name val="Tahoma"/>
      <family val="2"/>
      <scheme val="minor"/>
    </font>
    <font>
      <b/>
      <sz val="11"/>
      <color rgb="FFFFFFFF"/>
      <name val="Tahoma"/>
      <family val="2"/>
      <scheme val="minor"/>
    </font>
    <font>
      <sz val="8"/>
      <color rgb="FF404040"/>
      <name val="Tahoma"/>
      <family val="2"/>
      <scheme val="minor"/>
    </font>
    <font>
      <b/>
      <sz val="14"/>
      <color rgb="FFFFFFFF"/>
      <name val="Tahoma"/>
      <family val="2"/>
      <scheme val="minor"/>
    </font>
    <font>
      <b/>
      <sz val="11"/>
      <color rgb="FFFFFFFF"/>
      <name val="Tahoma"/>
      <family val="2"/>
      <charset val="222"/>
      <scheme val="minor"/>
    </font>
    <font>
      <b/>
      <sz val="10"/>
      <color rgb="FFFFFFFF"/>
      <name val="Aptos"/>
      <family val="2"/>
      <charset val="222"/>
    </font>
    <font>
      <b/>
      <sz val="10"/>
      <color rgb="FFFFFFFF"/>
      <name val="Tahoma"/>
      <family val="2"/>
      <charset val="22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BEAFE"/>
        <bgColor rgb="FFDBEAFE"/>
      </patternFill>
    </fill>
    <fill>
      <patternFill patternType="solid">
        <fgColor rgb="FFDCFCE7"/>
        <bgColor rgb="FFDCFCE7"/>
      </patternFill>
    </fill>
    <fill>
      <patternFill patternType="solid">
        <fgColor rgb="FFFEE2E2"/>
        <bgColor rgb="FFFEE2E2"/>
      </patternFill>
    </fill>
    <fill>
      <patternFill patternType="solid">
        <fgColor rgb="FFEDE9FE"/>
        <bgColor rgb="FFEDE9FE"/>
      </patternFill>
    </fill>
    <fill>
      <patternFill patternType="solid">
        <fgColor rgb="FFFCE7F3"/>
        <bgColor rgb="FFFCE7F3"/>
      </patternFill>
    </fill>
    <fill>
      <patternFill patternType="solid">
        <fgColor rgb="FFF3E8FF"/>
        <bgColor rgb="FFF3E8FF"/>
      </patternFill>
    </fill>
    <fill>
      <patternFill patternType="solid">
        <fgColor rgb="FFFFEDD5"/>
        <bgColor rgb="FFFFEDD5"/>
      </patternFill>
    </fill>
    <fill>
      <patternFill patternType="solid">
        <fgColor rgb="FFE5E7EB"/>
        <bgColor rgb="FFE5E7EB"/>
      </patternFill>
    </fill>
    <fill>
      <patternFill patternType="solid">
        <fgColor rgb="FF00408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ED7AA"/>
        <bgColor rgb="FFFED7AA"/>
      </patternFill>
    </fill>
    <fill>
      <patternFill patternType="solid">
        <fgColor rgb="FFFCA5A5"/>
        <bgColor rgb="FFFCA5A5"/>
      </patternFill>
    </fill>
    <fill>
      <patternFill patternType="solid">
        <fgColor rgb="FFFFF2CC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1182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33D4D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/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E2F3"/>
      </left>
      <right/>
      <top style="thin">
        <color rgb="FFD9E2F3"/>
      </top>
      <bottom style="thin">
        <color rgb="FFD9E2F3"/>
      </bottom>
      <diagonal/>
    </border>
  </borders>
  <cellStyleXfs count="1">
    <xf numFmtId="0" fontId="0" fillId="0" borderId="0"/>
  </cellStyleXfs>
  <cellXfs count="90">
    <xf numFmtId="0" fontId="0" fillId="0" borderId="0" xfId="0"/>
    <xf numFmtId="9" fontId="0" fillId="0" borderId="0" xfId="0" applyNumberFormat="1"/>
    <xf numFmtId="0" fontId="3" fillId="0" borderId="0" xfId="0" applyFont="1"/>
    <xf numFmtId="0" fontId="0" fillId="0" borderId="0" xfId="0"/>
    <xf numFmtId="187" fontId="0" fillId="0" borderId="0" xfId="0" applyNumberFormat="1"/>
    <xf numFmtId="0" fontId="5" fillId="0" borderId="0" xfId="0" applyFont="1" applyAlignment="1">
      <alignment horizontal="left" vertical="center"/>
    </xf>
    <xf numFmtId="0" fontId="4" fillId="11" borderId="4" xfId="0" applyFont="1" applyFill="1" applyBorder="1" applyAlignment="1">
      <alignment horizontal="center" vertical="center"/>
    </xf>
    <xf numFmtId="0" fontId="0" fillId="0" borderId="3" xfId="0" applyBorder="1"/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4" fillId="0" borderId="1" xfId="0" applyFont="1" applyBorder="1" applyAlignment="1">
      <alignment vertical="center"/>
    </xf>
    <xf numFmtId="0" fontId="14" fillId="0" borderId="1" xfId="0" applyFont="1" applyBorder="1" applyAlignment="1">
      <alignment vertical="center" wrapText="1"/>
    </xf>
    <xf numFmtId="1" fontId="14" fillId="0" borderId="1" xfId="0" applyNumberFormat="1" applyFont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8" fillId="13" borderId="1" xfId="0" applyFont="1" applyFill="1" applyBorder="1" applyAlignment="1">
      <alignment vertical="center"/>
    </xf>
    <xf numFmtId="0" fontId="15" fillId="14" borderId="1" xfId="0" applyFont="1" applyFill="1" applyBorder="1" applyAlignment="1">
      <alignment vertical="center"/>
    </xf>
    <xf numFmtId="187" fontId="14" fillId="0" borderId="1" xfId="0" applyNumberFormat="1" applyFont="1" applyBorder="1" applyAlignment="1">
      <alignment vertical="center"/>
    </xf>
    <xf numFmtId="187" fontId="14" fillId="0" borderId="0" xfId="0" applyNumberFormat="1" applyFont="1" applyAlignment="1">
      <alignment vertical="center"/>
    </xf>
    <xf numFmtId="0" fontId="7" fillId="4" borderId="1" xfId="0" applyFont="1" applyFill="1" applyBorder="1" applyAlignment="1">
      <alignment vertical="center"/>
    </xf>
    <xf numFmtId="0" fontId="8" fillId="9" borderId="1" xfId="0" applyFont="1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10" fillId="7" borderId="1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0" fontId="13" fillId="10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center" vertical="center" wrapText="1"/>
    </xf>
    <xf numFmtId="0" fontId="14" fillId="0" borderId="3" xfId="0" applyFont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7" fillId="0" borderId="4" xfId="0" applyFont="1" applyBorder="1" applyAlignment="1">
      <alignment vertical="center" wrapText="1"/>
    </xf>
    <xf numFmtId="188" fontId="16" fillId="12" borderId="4" xfId="0" applyNumberFormat="1" applyFont="1" applyFill="1" applyBorder="1" applyAlignment="1">
      <alignment horizontal="center" vertical="center" wrapText="1"/>
    </xf>
    <xf numFmtId="188" fontId="17" fillId="0" borderId="4" xfId="0" applyNumberFormat="1" applyFont="1" applyBorder="1" applyAlignment="1">
      <alignment vertical="center" wrapText="1"/>
    </xf>
    <xf numFmtId="188" fontId="0" fillId="0" borderId="0" xfId="0" applyNumberFormat="1"/>
    <xf numFmtId="0" fontId="23" fillId="15" borderId="0" xfId="0" applyFont="1" applyFill="1" applyAlignment="1">
      <alignment vertical="center"/>
    </xf>
    <xf numFmtId="0" fontId="24" fillId="16" borderId="0" xfId="0" applyFont="1" applyFill="1" applyAlignment="1">
      <alignment vertical="center"/>
    </xf>
    <xf numFmtId="0" fontId="25" fillId="17" borderId="0" xfId="0" applyFont="1" applyFill="1" applyAlignment="1">
      <alignment vertical="center"/>
    </xf>
    <xf numFmtId="0" fontId="22" fillId="18" borderId="0" xfId="0" applyFont="1" applyFill="1" applyAlignment="1">
      <alignment vertical="center"/>
    </xf>
    <xf numFmtId="0" fontId="26" fillId="19" borderId="0" xfId="0" applyFont="1" applyFill="1" applyAlignment="1">
      <alignment vertical="center"/>
    </xf>
    <xf numFmtId="0" fontId="27" fillId="20" borderId="0" xfId="0" applyFont="1" applyFill="1" applyAlignment="1">
      <alignment vertical="center"/>
    </xf>
    <xf numFmtId="22" fontId="0" fillId="0" borderId="0" xfId="0" applyNumberFormat="1"/>
    <xf numFmtId="0" fontId="14" fillId="21" borderId="1" xfId="0" applyFont="1" applyFill="1" applyBorder="1" applyAlignment="1">
      <alignment vertical="center"/>
    </xf>
    <xf numFmtId="0" fontId="14" fillId="21" borderId="1" xfId="0" applyFont="1" applyFill="1" applyBorder="1" applyAlignment="1">
      <alignment vertical="center" wrapText="1"/>
    </xf>
    <xf numFmtId="1" fontId="14" fillId="21" borderId="1" xfId="0" applyNumberFormat="1" applyFont="1" applyFill="1" applyBorder="1" applyAlignment="1">
      <alignment vertical="center"/>
    </xf>
    <xf numFmtId="187" fontId="14" fillId="21" borderId="1" xfId="0" applyNumberFormat="1" applyFont="1" applyFill="1" applyBorder="1" applyAlignment="1">
      <alignment vertical="center"/>
    </xf>
    <xf numFmtId="187" fontId="14" fillId="21" borderId="5" xfId="0" applyNumberFormat="1" applyFont="1" applyFill="1" applyBorder="1" applyAlignment="1">
      <alignment vertical="center"/>
    </xf>
    <xf numFmtId="187" fontId="14" fillId="0" borderId="5" xfId="0" applyNumberFormat="1" applyFont="1" applyBorder="1" applyAlignment="1">
      <alignment vertical="center"/>
    </xf>
    <xf numFmtId="0" fontId="30" fillId="22" borderId="0" xfId="0" applyFont="1" applyFill="1"/>
    <xf numFmtId="0" fontId="4" fillId="12" borderId="1" xfId="0" applyFont="1" applyFill="1" applyBorder="1" applyAlignment="1">
      <alignment horizontal="center" vertical="center" wrapText="1"/>
    </xf>
    <xf numFmtId="0" fontId="4" fillId="12" borderId="5" xfId="0" applyFont="1" applyFill="1" applyBorder="1" applyAlignment="1">
      <alignment horizontal="center" vertical="center" wrapText="1"/>
    </xf>
    <xf numFmtId="0" fontId="28" fillId="2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23" borderId="6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28" fillId="23" borderId="6" xfId="0" applyFont="1" applyFill="1" applyBorder="1" applyAlignment="1"/>
    <xf numFmtId="0" fontId="26" fillId="19" borderId="6" xfId="0" applyFont="1" applyFill="1" applyBorder="1" applyAlignment="1">
      <alignment horizontal="left"/>
    </xf>
    <xf numFmtId="0" fontId="22" fillId="18" borderId="6" xfId="0" applyFont="1" applyFill="1" applyBorder="1" applyAlignment="1">
      <alignment horizontal="left"/>
    </xf>
    <xf numFmtId="0" fontId="24" fillId="16" borderId="6" xfId="0" applyFont="1" applyFill="1" applyBorder="1" applyAlignment="1">
      <alignment horizontal="left"/>
    </xf>
    <xf numFmtId="0" fontId="23" fillId="15" borderId="6" xfId="0" applyFont="1" applyFill="1" applyBorder="1" applyAlignment="1">
      <alignment horizontal="left"/>
    </xf>
    <xf numFmtId="0" fontId="27" fillId="20" borderId="6" xfId="0" applyFont="1" applyFill="1" applyBorder="1" applyAlignment="1">
      <alignment horizontal="left"/>
    </xf>
    <xf numFmtId="0" fontId="0" fillId="24" borderId="0" xfId="0" applyFill="1"/>
    <xf numFmtId="0" fontId="4" fillId="24" borderId="0" xfId="0" applyFont="1" applyFill="1" applyAlignment="1">
      <alignment horizontal="center" vertical="center" wrapText="1"/>
    </xf>
    <xf numFmtId="0" fontId="21" fillId="24" borderId="0" xfId="0" applyFont="1" applyFill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0" fontId="20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0" fillId="24" borderId="0" xfId="0" applyFill="1" applyAlignment="1">
      <alignment vertical="center"/>
    </xf>
    <xf numFmtId="0" fontId="0" fillId="24" borderId="2" xfId="0" applyFill="1" applyBorder="1" applyAlignment="1">
      <alignment vertical="center"/>
    </xf>
    <xf numFmtId="0" fontId="0" fillId="24" borderId="0" xfId="0" applyFill="1" applyBorder="1" applyAlignment="1">
      <alignment vertical="center"/>
    </xf>
    <xf numFmtId="0" fontId="0" fillId="24" borderId="0" xfId="0" applyFill="1" applyBorder="1"/>
    <xf numFmtId="0" fontId="2" fillId="24" borderId="7" xfId="0" applyFont="1" applyFill="1" applyBorder="1" applyAlignment="1">
      <alignment vertical="center" wrapText="1"/>
    </xf>
    <xf numFmtId="0" fontId="2" fillId="24" borderId="1" xfId="0" applyFont="1" applyFill="1" applyBorder="1" applyAlignment="1">
      <alignment vertical="center" wrapText="1"/>
    </xf>
    <xf numFmtId="0" fontId="1" fillId="24" borderId="0" xfId="0" applyFont="1" applyFill="1" applyAlignment="1">
      <alignment horizontal="center" vertical="center" wrapText="1"/>
    </xf>
    <xf numFmtId="0" fontId="0" fillId="24" borderId="0" xfId="0" applyFill="1" applyAlignment="1">
      <alignment horizontal="center"/>
    </xf>
    <xf numFmtId="0" fontId="29" fillId="24" borderId="0" xfId="0" applyFont="1" applyFill="1" applyAlignment="1">
      <alignment horizontal="center"/>
    </xf>
    <xf numFmtId="0" fontId="18" fillId="25" borderId="0" xfId="0" applyFont="1" applyFill="1" applyAlignment="1">
      <alignment horizontal="center" vertical="center"/>
    </xf>
    <xf numFmtId="0" fontId="31" fillId="26" borderId="0" xfId="0" applyFont="1" applyFill="1"/>
    <xf numFmtId="0" fontId="32" fillId="26" borderId="0" xfId="0" applyFont="1" applyFill="1" applyAlignment="1">
      <alignment horizontal="center" vertical="center" wrapText="1"/>
    </xf>
    <xf numFmtId="0" fontId="33" fillId="26" borderId="0" xfId="0" applyFont="1" applyFill="1" applyAlignment="1">
      <alignment horizontal="center" vertical="center"/>
    </xf>
    <xf numFmtId="0" fontId="28" fillId="26" borderId="0" xfId="0" applyFont="1" applyFill="1"/>
    <xf numFmtId="0" fontId="28" fillId="26" borderId="0" xfId="0" applyFont="1" applyFill="1" applyAlignment="1">
      <alignment vertical="center"/>
    </xf>
    <xf numFmtId="0" fontId="32" fillId="26" borderId="0" xfId="0" applyFont="1" applyFill="1" applyAlignment="1">
      <alignment horizontal="center" vertical="center" wrapText="1"/>
    </xf>
    <xf numFmtId="0" fontId="31" fillId="26" borderId="0" xfId="0" applyFont="1" applyFill="1" applyAlignment="1">
      <alignment vertical="center"/>
    </xf>
    <xf numFmtId="0" fontId="4" fillId="25" borderId="0" xfId="0" applyFont="1" applyFill="1" applyAlignment="1">
      <alignment horizontal="center" vertical="center" wrapText="1"/>
    </xf>
    <xf numFmtId="0" fontId="28" fillId="25" borderId="0" xfId="0" applyFont="1" applyFill="1" applyAlignment="1">
      <alignment horizontal="center"/>
    </xf>
    <xf numFmtId="0" fontId="0" fillId="27" borderId="0" xfId="0" applyFill="1"/>
    <xf numFmtId="0" fontId="0" fillId="27" borderId="0" xfId="0" applyFill="1" applyAlignment="1">
      <alignment vertical="center"/>
    </xf>
    <xf numFmtId="0" fontId="4" fillId="27" borderId="0" xfId="0" applyFont="1" applyFill="1" applyAlignment="1">
      <alignment horizontal="center" vertical="center" wrapText="1"/>
    </xf>
    <xf numFmtId="0" fontId="31" fillId="27" borderId="0" xfId="0" applyFont="1" applyFill="1" applyAlignment="1">
      <alignment vertical="center"/>
    </xf>
    <xf numFmtId="0" fontId="32" fillId="27" borderId="0" xfId="0" applyFont="1" applyFill="1" applyAlignment="1">
      <alignment horizontal="center" vertical="center" wrapText="1"/>
    </xf>
    <xf numFmtId="0" fontId="1" fillId="27" borderId="0" xfId="0" applyFont="1" applyFill="1" applyAlignment="1">
      <alignment horizontal="center" vertical="center" wrapText="1"/>
    </xf>
  </cellXfs>
  <cellStyles count="1">
    <cellStyle name="Normal" xfId="0" builtinId="0"/>
  </cellStyles>
  <dxfs count="76">
    <dxf>
      <font>
        <sz val="10"/>
        <color rgb="FF64748B"/>
        <name val="Aptos"/>
      </font>
      <fill>
        <patternFill patternType="solid">
          <fgColor rgb="FFF8FAFC"/>
          <bgColor rgb="FFF8FAFC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A3412"/>
        <name val="Aptos"/>
      </font>
      <fill>
        <patternFill patternType="solid">
          <fgColor rgb="FFFFEDD5"/>
          <bgColor rgb="FFFFEDD5"/>
        </patternFill>
      </fill>
    </dxf>
    <dxf>
      <font>
        <sz val="10"/>
        <color rgb="FF7F1D1D"/>
        <name val="Aptos"/>
      </font>
      <fill>
        <patternFill patternType="solid">
          <fgColor rgb="FFFCA5A5"/>
          <bgColor rgb="FFFCA5A5"/>
        </patternFill>
      </fill>
    </dxf>
    <dxf>
      <font>
        <sz val="10"/>
        <color rgb="FF6B21A8"/>
        <name val="Aptos"/>
      </font>
      <fill>
        <patternFill patternType="solid">
          <fgColor rgb="FFF3E8FF"/>
          <bgColor rgb="FFF3E8FF"/>
        </patternFill>
      </fill>
    </dxf>
    <dxf>
      <font>
        <sz val="10"/>
        <color rgb="FF9D174D"/>
        <name val="Aptos"/>
      </font>
      <fill>
        <patternFill patternType="solid">
          <fgColor rgb="FFFCE7F3"/>
          <bgColor rgb="FFFCE7F3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075985"/>
        <name val="Aptos"/>
      </font>
      <fill>
        <patternFill patternType="solid">
          <fgColor rgb="FFE0F2FE"/>
          <bgColor rgb="FFE0F2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A3412"/>
        <name val="Aptos"/>
      </font>
      <fill>
        <patternFill patternType="solid">
          <fgColor rgb="FFFED7AA"/>
          <bgColor rgb="FFFED7AA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91B1B"/>
        <name val="Aptos"/>
      </font>
      <fill>
        <patternFill patternType="solid">
          <fgColor rgb="FFFEE2E2"/>
          <bgColor rgb="FFFEE2E2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87" formatCode="[$-409]d\ mmm\ yy"/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87" formatCode="[$-409]d\ mmm\ yy"/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87" formatCode="[$-409]d\ mmm\ yy"/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E2F3"/>
        </left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rgb="FFD9E2F3"/>
        </right>
        <top style="thin">
          <color rgb="FFD9E2F3"/>
        </top>
        <bottom style="thin">
          <color rgb="FFD9E2F3"/>
        </bottom>
        <vertical/>
        <horizontal/>
      </border>
    </dxf>
    <dxf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 outline="0">
        <left style="thin">
          <color rgb="FFD9E2F3"/>
        </left>
      </border>
    </dxf>
    <dxf>
      <border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D9E2F3"/>
        </left>
        <right style="thin">
          <color rgb="FFD9E2F3"/>
        </right>
        <top/>
        <bottom/>
      </border>
    </dxf>
    <dxf>
      <font>
        <sz val="10"/>
        <color rgb="FF64748B"/>
        <name val="Aptos"/>
      </font>
      <fill>
        <patternFill patternType="solid">
          <fgColor rgb="FFF8FAFC"/>
          <bgColor rgb="FFF8FAFC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A3412"/>
        <name val="Aptos"/>
      </font>
      <fill>
        <patternFill patternType="solid">
          <fgColor rgb="FFFFEDD5"/>
          <bgColor rgb="FFFFEDD5"/>
        </patternFill>
      </fill>
    </dxf>
    <dxf>
      <font>
        <sz val="10"/>
        <color rgb="FF7F1D1D"/>
        <name val="Aptos"/>
      </font>
      <fill>
        <patternFill patternType="solid">
          <fgColor rgb="FFFCA5A5"/>
          <bgColor rgb="FFFCA5A5"/>
        </patternFill>
      </fill>
    </dxf>
    <dxf>
      <font>
        <sz val="10"/>
        <color rgb="FF6B21A8"/>
        <name val="Aptos"/>
      </font>
      <fill>
        <patternFill patternType="solid">
          <fgColor rgb="FFF3E8FF"/>
          <bgColor rgb="FFF3E8FF"/>
        </patternFill>
      </fill>
    </dxf>
    <dxf>
      <font>
        <sz val="10"/>
        <color rgb="FF9D174D"/>
        <name val="Aptos"/>
      </font>
      <fill>
        <patternFill patternType="solid">
          <fgColor rgb="FFFCE7F3"/>
          <bgColor rgb="FFFCE7F3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075985"/>
        <name val="Aptos"/>
      </font>
      <fill>
        <patternFill patternType="solid">
          <fgColor rgb="FFE0F2FE"/>
          <bgColor rgb="FFE0F2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A3412"/>
        <name val="Aptos"/>
      </font>
      <fill>
        <patternFill patternType="solid">
          <fgColor rgb="FFFED7AA"/>
          <bgColor rgb="FFFED7AA"/>
        </patternFill>
      </fill>
    </dxf>
    <dxf>
      <font>
        <sz val="10"/>
        <color rgb="FF374151"/>
        <name val="Aptos"/>
      </font>
      <fill>
        <patternFill patternType="solid">
          <fgColor rgb="FFE5E7EB"/>
          <bgColor rgb="FFE5E7EB"/>
        </patternFill>
      </fill>
    </dxf>
    <dxf>
      <font>
        <sz val="10"/>
        <color rgb="FF991B1B"/>
        <name val="Aptos"/>
      </font>
      <fill>
        <patternFill patternType="solid">
          <fgColor rgb="FFFEE2E2"/>
          <bgColor rgb="FFFEE2E2"/>
        </patternFill>
      </fill>
    </dxf>
    <dxf>
      <font>
        <sz val="10"/>
        <color rgb="FF166534"/>
        <name val="Aptos"/>
      </font>
      <fill>
        <patternFill patternType="solid">
          <fgColor rgb="FFDCFCE7"/>
          <bgColor rgb="FFDCFCE7"/>
        </patternFill>
      </fill>
    </dxf>
    <dxf>
      <font>
        <sz val="10"/>
        <color rgb="FF5B21B6"/>
        <name val="Aptos"/>
      </font>
      <fill>
        <patternFill patternType="solid">
          <fgColor rgb="FFEDE9FE"/>
          <bgColor rgb="FFEDE9FE"/>
        </patternFill>
      </fill>
    </dxf>
    <dxf>
      <font>
        <sz val="10"/>
        <color rgb="FF1E3A8A"/>
        <name val="Aptos"/>
      </font>
      <fill>
        <patternFill patternType="solid">
          <fgColor rgb="FFDBEAFE"/>
          <bgColor rgb="FFDBEAFE"/>
        </patternFill>
      </fill>
    </dxf>
    <dxf>
      <font>
        <sz val="10"/>
        <color rgb="FF92400E"/>
        <name val="Aptos"/>
      </font>
      <fill>
        <patternFill patternType="solid">
          <fgColor rgb="FFFEF3C7"/>
          <bgColor rgb="FFFEF3C7"/>
        </patternFill>
      </fill>
    </dxf>
    <dxf>
      <font>
        <color rgb="FF404040"/>
      </font>
      <fill>
        <patternFill>
          <bgColor rgb="FFDAEEF3"/>
        </patternFill>
      </fill>
    </dxf>
    <dxf>
      <font>
        <color rgb="FF404040"/>
      </font>
      <fill>
        <patternFill>
          <bgColor rgb="FFE6E6E6"/>
        </patternFill>
      </fill>
    </dxf>
    <dxf>
      <font>
        <color rgb="FFFFC000"/>
      </font>
      <fill>
        <patternFill>
          <bgColor rgb="FFFFF2CC"/>
        </patternFill>
      </fill>
    </dxf>
    <dxf>
      <font>
        <color rgb="FFFF0000"/>
      </font>
      <fill>
        <patternFill>
          <bgColor rgb="FFFFCC99"/>
        </patternFill>
      </fill>
    </dxf>
    <dxf>
      <font>
        <color rgb="FF404040"/>
      </font>
      <fill>
        <patternFill>
          <bgColor rgb="FFD9D9D9"/>
        </patternFill>
      </fill>
    </dxf>
    <dxf>
      <font>
        <color rgb="FF7030A0"/>
      </font>
      <fill>
        <patternFill>
          <bgColor rgb="FFF2F2F2"/>
        </patternFill>
      </fill>
    </dxf>
    <dxf>
      <font>
        <color rgb="FF7030A0"/>
      </font>
      <fill>
        <patternFill>
          <bgColor rgb="FFF2F2F2"/>
        </patternFill>
      </fill>
    </dxf>
    <dxf>
      <font>
        <color rgb="FF404040"/>
      </font>
      <fill>
        <patternFill>
          <bgColor rgb="FFFFFFFF"/>
        </patternFill>
      </fill>
    </dxf>
    <dxf>
      <font>
        <color rgb="FF404040"/>
      </font>
      <fill>
        <patternFill>
          <bgColor rgb="FFFFFFFF"/>
        </patternFill>
      </fill>
    </dxf>
    <dxf>
      <font>
        <color rgb="FF404040"/>
      </font>
      <fill>
        <patternFill>
          <bgColor rgb="FFFFFFFF"/>
        </patternFill>
      </fill>
    </dxf>
    <dxf>
      <font>
        <color rgb="FF008000"/>
      </font>
      <fill>
        <patternFill>
          <bgColor rgb="FFCCFFCC"/>
        </patternFill>
      </fill>
    </dxf>
    <dxf>
      <font>
        <color rgb="FF000080"/>
      </font>
      <fill>
        <patternFill>
          <bgColor rgb="FFFFCCFF"/>
        </patternFill>
      </fill>
    </dxf>
    <dxf>
      <font>
        <color rgb="FFFF0000"/>
      </font>
      <fill>
        <patternFill>
          <bgColor rgb="FFFFCBAD"/>
        </patternFill>
      </fill>
    </dxf>
    <dxf>
      <font>
        <color rgb="FF404040"/>
      </font>
      <fill>
        <patternFill>
          <bgColor rgb="FFC0C0C0"/>
        </patternFill>
      </fill>
    </dxf>
    <dxf>
      <font>
        <color rgb="FF666699"/>
      </font>
      <fill>
        <patternFill>
          <bgColor rgb="FFFFFF99"/>
        </patternFill>
      </fill>
    </dxf>
    <dxf>
      <font>
        <color rgb="FFFF0000"/>
      </font>
      <fill>
        <patternFill>
          <bgColor rgb="FFFFCCCC"/>
        </patternFill>
      </fill>
    </dxf>
    <dxf>
      <font>
        <color rgb="FF7030A0"/>
      </font>
      <fill>
        <patternFill>
          <bgColor rgb="FFECECEC"/>
        </patternFill>
      </fill>
    </dxf>
    <dxf>
      <font>
        <color rgb="FF000080"/>
      </font>
      <fill>
        <patternFill>
          <bgColor rgb="FFADD8E6"/>
        </patternFill>
      </fill>
    </dxf>
    <dxf>
      <font>
        <color rgb="FF008000"/>
      </font>
      <fill>
        <patternFill>
          <bgColor rgb="FFCCFF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CAD Outcome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v>Task Count</c:v>
          </c:tx>
          <c:dLbls>
            <c:dLbl>
              <c:idx val="0"/>
              <c:showLegendKey val="0"/>
              <c:showVal val="0"/>
              <c:showCatName val="1"/>
              <c:showSerName val="0"/>
              <c:showPercent val="1"/>
              <c:showBubbleSize val="0"/>
              <c:separator> |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8B-4D1B-8267-91F23A969D0F}"/>
                </c:ext>
              </c:extLst>
            </c:dLbl>
            <c:dLbl>
              <c:idx val="1"/>
              <c:showLegendKey val="0"/>
              <c:showVal val="0"/>
              <c:showCatName val="1"/>
              <c:showSerName val="0"/>
              <c:showPercent val="1"/>
              <c:showBubbleSize val="0"/>
              <c:separator> |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8B-4D1B-8267-91F23A969D0F}"/>
                </c:ext>
              </c:extLst>
            </c:dLbl>
            <c:dLbl>
              <c:idx val="2"/>
              <c:showLegendKey val="0"/>
              <c:showVal val="0"/>
              <c:showCatName val="1"/>
              <c:showSerName val="0"/>
              <c:showPercent val="1"/>
              <c:showBubbleSize val="0"/>
              <c:separator> |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58B-4D1B-8267-91F23A969D0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8B-4D1B-8267-91F23A969D0F}"/>
                </c:ext>
              </c:extLst>
            </c:dLbl>
            <c:dLbl>
              <c:idx val="4"/>
              <c:showLegendKey val="0"/>
              <c:showVal val="0"/>
              <c:showCatName val="1"/>
              <c:showSerName val="0"/>
              <c:showPercent val="1"/>
              <c:showBubbleSize val="0"/>
              <c:separator> |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8B-4D1B-8267-91F23A969D0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'Month-End Snapshot TEST'!$Q$6:$Q$10</c:f>
              <c:strCache>
                <c:ptCount val="5"/>
                <c:pt idx="0">
                  <c:v>Completed</c:v>
                </c:pt>
                <c:pt idx="1">
                  <c:v>Cancelled</c:v>
                </c:pt>
                <c:pt idx="2">
                  <c:v>Blocked</c:v>
                </c:pt>
                <c:pt idx="3">
                  <c:v>Missed / Carry Over</c:v>
                </c:pt>
                <c:pt idx="4">
                  <c:v>Still Active</c:v>
                </c:pt>
              </c:strCache>
            </c:strRef>
          </c:cat>
          <c:val>
            <c:numRef>
              <c:f>'Month-End Snapshot TEST'!$R$6:$R$10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8B-4D1B-8267-91F23A969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5"/>
      </c:doughnutChart>
    </c:plotArea>
    <c:legend>
      <c:legendPos val="b"/>
      <c:overlay val="0"/>
      <c:txPr>
        <a:bodyPr/>
        <a:lstStyle/>
        <a:p>
          <a:pPr rtl="0">
            <a:defRPr/>
          </a:pPr>
          <a:endParaRPr lang="th-TH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38</xdr:row>
      <xdr:rowOff>0</xdr:rowOff>
    </xdr:from>
    <xdr:to>
      <xdr:col>9</xdr:col>
      <xdr:colOff>711200</xdr:colOff>
      <xdr:row>38</xdr:row>
      <xdr:rowOff>254000</xdr:rowOff>
    </xdr:to>
    <xdr:sp macro="" textlink="">
      <xdr:nvSpPr>
        <xdr:cNvPr id="5" name="archiveControlTitle">
          <a:extLst>
            <a:ext uri="{FF2B5EF4-FFF2-40B4-BE49-F238E27FC236}">
              <a16:creationId xmlns:a16="http://schemas.microsoft.com/office/drawing/2014/main" id="{2C840D21-4F21-6FB5-F67E-E2944318B61D}"/>
            </a:ext>
          </a:extLst>
        </xdr:cNvPr>
        <xdr:cNvSpPr txBox="1"/>
      </xdr:nvSpPr>
      <xdr:spPr>
        <a:xfrm>
          <a:off x="6619875" y="8020050"/>
          <a:ext cx="3302000" cy="254000"/>
        </a:xfrm>
        <a:prstGeom prst="rect">
          <a:avLst/>
        </a:prstGeom>
        <a:solidFill>
          <a:srgbClr val="FE7F2D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ARCHIVE CONTROL</a:t>
          </a:r>
          <a:endParaRPr lang="th-TH" sz="900" b="1">
            <a:solidFill>
              <a:srgbClr val="0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</xdr:col>
      <xdr:colOff>0</xdr:colOff>
      <xdr:row>38</xdr:row>
      <xdr:rowOff>330200</xdr:rowOff>
    </xdr:from>
    <xdr:to>
      <xdr:col>9</xdr:col>
      <xdr:colOff>711200</xdr:colOff>
      <xdr:row>41</xdr:row>
      <xdr:rowOff>57150</xdr:rowOff>
    </xdr:to>
    <xdr:sp macro="ArchiveReadyRows_TEST" textlink="">
      <xdr:nvSpPr>
        <xdr:cNvPr id="6" name="btnArchiveReadyRowsTEST">
          <a:extLst>
            <a:ext uri="{FF2B5EF4-FFF2-40B4-BE49-F238E27FC236}">
              <a16:creationId xmlns:a16="http://schemas.microsoft.com/office/drawing/2014/main" id="{2B8561AA-8807-D79E-46BD-EE52FDB5B26E}"/>
            </a:ext>
          </a:extLst>
        </xdr:cNvPr>
        <xdr:cNvSpPr/>
      </xdr:nvSpPr>
      <xdr:spPr>
        <a:xfrm>
          <a:off x="6619875" y="8350250"/>
          <a:ext cx="3302000" cy="431800"/>
        </a:xfrm>
        <a:prstGeom prst="roundRect">
          <a:avLst>
            <a:gd name="adj" fmla="val 18000"/>
          </a:avLst>
        </a:prstGeom>
        <a:solidFill>
          <a:srgbClr val="FE7F2D"/>
        </a:solidFill>
        <a:ln>
          <a:solidFill>
            <a:srgbClr val="8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Archive Ready Rows</a:t>
          </a:r>
          <a:endParaRPr lang="th-TH" sz="1000" b="1">
            <a:solidFill>
              <a:srgbClr val="0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6</xdr:col>
      <xdr:colOff>0</xdr:colOff>
      <xdr:row>41</xdr:row>
      <xdr:rowOff>133350</xdr:rowOff>
    </xdr:from>
    <xdr:to>
      <xdr:col>10</xdr:col>
      <xdr:colOff>177800</xdr:colOff>
      <xdr:row>43</xdr:row>
      <xdr:rowOff>76200</xdr:rowOff>
    </xdr:to>
    <xdr:sp macro="" textlink="">
      <xdr:nvSpPr>
        <xdr:cNvPr id="10" name="archiveControlWarning">
          <a:extLst>
            <a:ext uri="{FF2B5EF4-FFF2-40B4-BE49-F238E27FC236}">
              <a16:creationId xmlns:a16="http://schemas.microsoft.com/office/drawing/2014/main" id="{23103944-8A62-794A-DB3B-B5BB64A62C2D}"/>
            </a:ext>
          </a:extLst>
        </xdr:cNvPr>
        <xdr:cNvSpPr txBox="1"/>
      </xdr:nvSpPr>
      <xdr:spPr>
        <a:xfrm>
          <a:off x="6619875" y="8858250"/>
          <a:ext cx="4064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r>
            <a:rPr lang="en-US" sz="800">
              <a:solidFill>
                <a:srgbClr val="404040"/>
              </a:solidFill>
              <a:latin typeface="Aptos" panose="020B0004020202020204" pitchFamily="34" charset="0"/>
            </a:rPr>
            <a:t>Moves approved Done / Cancelled rows out of live tracker</a:t>
          </a:r>
          <a:endParaRPr lang="th-TH" sz="800">
            <a:solidFill>
              <a:srgbClr val="40404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11</xdr:col>
      <xdr:colOff>0</xdr:colOff>
      <xdr:row>34</xdr:row>
      <xdr:rowOff>0</xdr:rowOff>
    </xdr:from>
    <xdr:to>
      <xdr:col>14</xdr:col>
      <xdr:colOff>0</xdr:colOff>
      <xdr:row>36</xdr:row>
      <xdr:rowOff>0</xdr:rowOff>
    </xdr:to>
    <xdr:sp macro="CaptureMonthEndSnapshot_TEST" textlink="">
      <xdr:nvSpPr>
        <xdr:cNvPr id="2" name="btnMonthEndSnapshotTEST">
          <a:extLst>
            <a:ext uri="{FF2B5EF4-FFF2-40B4-BE49-F238E27FC236}">
              <a16:creationId xmlns:a16="http://schemas.microsoft.com/office/drawing/2014/main" id="{BEAD808E-7E1E-80E4-8688-B60851F1E962}"/>
            </a:ext>
          </a:extLst>
        </xdr:cNvPr>
        <xdr:cNvSpPr/>
      </xdr:nvSpPr>
      <xdr:spPr>
        <a:xfrm>
          <a:off x="11801475" y="7296150"/>
          <a:ext cx="3886200" cy="361950"/>
        </a:xfrm>
        <a:prstGeom prst="roundRect">
          <a:avLst/>
        </a:prstGeom>
        <a:solidFill>
          <a:srgbClr val="FE7F2D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>
              <a:solidFill>
                <a:srgbClr val="000000"/>
              </a:solidFill>
            </a:rPr>
            <a:t>Month-End Snapshot TEST</a:t>
          </a:r>
          <a:endParaRPr lang="th-TH" sz="1000" b="1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3</xdr:row>
      <xdr:rowOff>0</xdr:rowOff>
    </xdr:from>
    <xdr:to>
      <xdr:col>28</xdr:col>
      <xdr:colOff>355600</xdr:colOff>
      <xdr:row>16</xdr:row>
      <xdr:rowOff>63500</xdr:rowOff>
    </xdr:to>
    <xdr:graphicFrame macro="">
      <xdr:nvGraphicFramePr>
        <xdr:cNvPr id="2" name="MonthlyCADOutcomeChart">
          <a:extLst>
            <a:ext uri="{FF2B5EF4-FFF2-40B4-BE49-F238E27FC236}">
              <a16:creationId xmlns:a16="http://schemas.microsoft.com/office/drawing/2014/main" id="{F19B3306-2892-963B-FA5A-06A4A5CD83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DTracker" displayName="CADTracker" ref="A1:O199" headerRowDxfId="37" totalsRowDxfId="34" headerRowBorderDxfId="36" tableBorderDxfId="35">
  <autoFilter ref="A1:O199" xr:uid="{00000000-0009-0000-0100-000001000000}"/>
  <tableColumns count="15">
    <tableColumn id="3" xr3:uid="{00000000-0010-0000-0000-000003000000}" name="WE" dataDxfId="33"/>
    <tableColumn id="4" xr3:uid="{00000000-0010-0000-0000-000004000000}" name="Project / Collection" dataDxfId="32"/>
    <tableColumn id="2" xr3:uid="{00000000-0010-0000-0000-000002000000}" name="Batch ID" dataDxfId="31"/>
    <tableColumn id="5" xr3:uid="{00000000-0010-0000-0000-000005000000}" name="Item / Design No." dataDxfId="30"/>
    <tableColumn id="6" xr3:uid="{00000000-0010-0000-0000-000006000000}" name="Request Type" dataDxfId="29"/>
    <tableColumn id="7" xr3:uid="{00000000-0010-0000-0000-000007000000}" name="Deliverable Type" dataDxfId="28"/>
    <tableColumn id="1" xr3:uid="{00000000-0010-0000-0000-000001000000}" name="Worker ID" dataDxfId="27"/>
    <tableColumn id="8" xr3:uid="{00000000-0010-0000-0000-000008000000}" name="Task" dataDxfId="26"/>
    <tableColumn id="9" xr3:uid="{00000000-0010-0000-0000-000009000000}" name="Qty" dataDxfId="25"/>
    <tableColumn id="10" xr3:uid="{00000000-0010-0000-0000-00000A000000}" name="Status" dataDxfId="24"/>
    <tableColumn id="11" xr3:uid="{00000000-0010-0000-0000-00000B000000}" name="Owner" dataDxfId="23"/>
    <tableColumn id="12" xr3:uid="{00000000-0010-0000-0000-00000C000000}" name="Priority" dataDxfId="22"/>
    <tableColumn id="13" xr3:uid="{00000000-0010-0000-0000-00000D000000}" name="Start Date" dataDxfId="21"/>
    <tableColumn id="14" xr3:uid="{00000000-0010-0000-0000-00000E000000}" name="Plan End" dataDxfId="20"/>
    <tableColumn id="15" xr3:uid="{4532D179-943A-4C0B-8E28-83F61A6B8D62}" name="Archive Ready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P69"/>
  <sheetViews>
    <sheetView showGridLines="0" tabSelected="1" zoomScaleNormal="100" workbookViewId="0">
      <selection activeCell="O27" sqref="O27"/>
    </sheetView>
  </sheetViews>
  <sheetFormatPr defaultRowHeight="14.25" x14ac:dyDescent="0.2"/>
  <cols>
    <col min="1" max="3" width="17" style="3" customWidth="1"/>
    <col min="4" max="4" width="14.625" style="3" customWidth="1"/>
    <col min="5" max="6" width="10.625" style="3" customWidth="1"/>
    <col min="7" max="8" width="17" style="3" customWidth="1"/>
    <col min="9" max="9" width="17" style="3" hidden="1" customWidth="1"/>
    <col min="10" max="14" width="17" style="3" customWidth="1"/>
  </cols>
  <sheetData>
    <row r="1" spans="1:16" ht="24" customHeight="1" x14ac:dyDescent="0.2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</row>
    <row r="2" spans="1:16" x14ac:dyDescent="0.2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</row>
    <row r="3" spans="1:16" ht="21.95" customHeight="1" x14ac:dyDescent="0.2">
      <c r="A3" s="75"/>
      <c r="B3" s="75"/>
      <c r="C3" s="76" t="s">
        <v>1</v>
      </c>
      <c r="D3" s="77"/>
      <c r="E3" s="76" t="s">
        <v>2</v>
      </c>
      <c r="F3" s="77"/>
      <c r="G3" s="76" t="s">
        <v>3</v>
      </c>
      <c r="H3" s="77"/>
      <c r="I3" s="76" t="s">
        <v>4</v>
      </c>
      <c r="J3" s="77"/>
      <c r="K3" s="76" t="s">
        <v>5</v>
      </c>
      <c r="L3" s="77"/>
      <c r="M3" s="75"/>
      <c r="N3" s="75"/>
      <c r="O3" s="75"/>
    </row>
    <row r="4" spans="1:16" ht="27.95" customHeight="1" x14ac:dyDescent="0.2">
      <c r="A4" s="59"/>
      <c r="B4" s="59"/>
      <c r="C4" s="62">
        <f>COUNTIFS(CADTracker[Task],"&lt;&gt;")</f>
        <v>6</v>
      </c>
      <c r="D4" s="63"/>
      <c r="E4" s="62">
        <f>SUMIFS(CADTracker[Qty],CADTracker[Task],"&lt;&gt;")+COUNTIFS(CADTracker[Task],"&lt;&gt;",CADTracker[Qty],"")</f>
        <v>149</v>
      </c>
      <c r="F4" s="63"/>
      <c r="G4" s="62">
        <f>COUNTIFS(CADTracker[Task],"&lt;&gt;",CADTracker[Status],"&lt;&gt;Done",CADTracker[Status],"&lt;&gt;Cancelled")</f>
        <v>4</v>
      </c>
      <c r="H4" s="63"/>
      <c r="I4" s="62">
        <f>COUNTIFS(CADTracker[Task],"&lt;&gt;",CADTracker[Status],"Waiting")</f>
        <v>1</v>
      </c>
      <c r="J4" s="63"/>
      <c r="K4" s="62">
        <f>COUNTIFS(CADTracker[Task],"&lt;&gt;",CADTracker[Status],"In Progress")</f>
        <v>1</v>
      </c>
      <c r="L4" s="63"/>
      <c r="M4" s="59"/>
      <c r="N4" s="59"/>
      <c r="O4" s="59"/>
    </row>
    <row r="5" spans="1:16" x14ac:dyDescent="0.2">
      <c r="A5" s="59"/>
      <c r="B5" s="59"/>
      <c r="C5" s="64"/>
      <c r="D5" s="64"/>
      <c r="E5" s="64"/>
      <c r="F5" s="64"/>
      <c r="G5" s="64"/>
      <c r="H5" s="64"/>
      <c r="I5" s="64"/>
      <c r="J5" s="64"/>
      <c r="K5" s="64"/>
      <c r="L5" s="64"/>
      <c r="M5" s="59"/>
      <c r="N5" s="59"/>
      <c r="O5" s="59"/>
    </row>
    <row r="6" spans="1:16" ht="21.95" customHeight="1" x14ac:dyDescent="0.2">
      <c r="A6" s="75"/>
      <c r="B6" s="75"/>
      <c r="C6" s="76" t="s">
        <v>7</v>
      </c>
      <c r="D6" s="77"/>
      <c r="E6" s="76" t="s">
        <v>8</v>
      </c>
      <c r="F6" s="77"/>
      <c r="G6" s="76" t="s">
        <v>9</v>
      </c>
      <c r="H6" s="77"/>
      <c r="I6" s="76" t="s">
        <v>10</v>
      </c>
      <c r="J6" s="77"/>
      <c r="K6" s="60"/>
      <c r="L6" s="61"/>
      <c r="M6" s="59"/>
      <c r="N6" s="59"/>
      <c r="O6" s="59"/>
    </row>
    <row r="7" spans="1:16" ht="27.95" customHeight="1" x14ac:dyDescent="0.2">
      <c r="A7" s="59"/>
      <c r="B7" s="59"/>
      <c r="C7" s="62">
        <f>COUNTIFS(CADTracker[Task],"&lt;&gt;",CADTracker[Status],"Blocked")</f>
        <v>1</v>
      </c>
      <c r="D7" s="63"/>
      <c r="E7" s="62">
        <f>COUNTIFS(CADTracker[Task],"&lt;&gt;",CADTracker[Status],"Done")</f>
        <v>1</v>
      </c>
      <c r="F7" s="63"/>
      <c r="G7" s="62">
        <f ca="1">COUNTIFS(CADTracker[Task],"&lt;&gt;",CADTracker[Plan End],"&lt;"&amp;TODAY(),CADTracker[Status],"&lt;&gt;Done",CADTracker[Status],"&lt;&gt;Cancelled")</f>
        <v>0</v>
      </c>
      <c r="H7" s="63"/>
      <c r="I7" s="62">
        <f ca="1">COUNTIFS(CADTracker[Task],"&lt;&gt;",CADTracker[Plan End],"&gt;="&amp;TODAY(),CADTracker[Plan End],"&lt;="&amp;TODAY()+7,CADTracker[Status],"&lt;&gt;Done",CADTracker[Status],"&lt;&gt;Cancelled")</f>
        <v>0</v>
      </c>
      <c r="J7" s="63"/>
      <c r="K7" s="62"/>
      <c r="L7" s="63"/>
      <c r="M7" s="59"/>
      <c r="N7" s="59"/>
      <c r="O7" s="59"/>
    </row>
    <row r="8" spans="1:16" x14ac:dyDescent="0.2">
      <c r="A8" s="59"/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</row>
    <row r="9" spans="1:16" ht="14.25" customHeight="1" x14ac:dyDescent="0.2">
      <c r="A9" s="78"/>
      <c r="B9" s="78"/>
      <c r="C9" s="78"/>
      <c r="D9" s="79"/>
      <c r="E9" s="79"/>
      <c r="F9" s="79"/>
      <c r="G9" s="79"/>
      <c r="H9" s="79"/>
      <c r="I9" s="66"/>
      <c r="J9" s="67"/>
      <c r="K9" s="67"/>
      <c r="L9" s="68"/>
      <c r="M9" s="68"/>
      <c r="N9" s="59"/>
      <c r="O9" s="59"/>
      <c r="P9" s="8"/>
    </row>
    <row r="10" spans="1:16" x14ac:dyDescent="0.2">
      <c r="A10" s="78"/>
      <c r="B10" s="78"/>
      <c r="C10" s="78"/>
      <c r="D10" s="79"/>
      <c r="E10" s="79"/>
      <c r="F10" s="79"/>
      <c r="G10" s="79"/>
      <c r="H10" s="79"/>
      <c r="I10" s="69" t="s">
        <v>16</v>
      </c>
      <c r="J10" s="68"/>
      <c r="K10" s="68"/>
      <c r="L10" s="68"/>
      <c r="M10" s="68"/>
      <c r="N10" s="59"/>
      <c r="O10" s="59"/>
      <c r="P10" s="8"/>
    </row>
    <row r="11" spans="1:16" x14ac:dyDescent="0.2">
      <c r="A11" s="84"/>
      <c r="B11" s="84"/>
      <c r="C11" s="84"/>
      <c r="D11" s="85"/>
      <c r="E11" s="85"/>
      <c r="F11" s="85"/>
      <c r="G11" s="85"/>
      <c r="H11" s="85"/>
      <c r="I11" s="70" t="str">
        <f ca="1">IF($I11="","",INDEX(CADTracker[Status],$I11))</f>
        <v/>
      </c>
      <c r="J11" s="59"/>
      <c r="K11" s="59"/>
      <c r="L11" s="59"/>
      <c r="M11" s="59"/>
      <c r="N11" s="59"/>
      <c r="O11" s="59"/>
      <c r="P11" s="8"/>
    </row>
    <row r="12" spans="1:16" x14ac:dyDescent="0.2">
      <c r="A12" s="84"/>
      <c r="B12" s="84"/>
      <c r="C12" s="84"/>
      <c r="D12" s="85"/>
      <c r="E12" s="85"/>
      <c r="F12" s="85"/>
      <c r="G12" s="85"/>
      <c r="H12" s="85"/>
      <c r="I12" s="70" t="str">
        <f ca="1">IF($I12="","",INDEX(CADTracker[Status],$I12))</f>
        <v/>
      </c>
      <c r="J12" s="59"/>
      <c r="K12" s="59"/>
      <c r="L12" s="59"/>
      <c r="M12" s="59"/>
      <c r="N12" s="59"/>
      <c r="O12" s="59"/>
      <c r="P12" s="8"/>
    </row>
    <row r="13" spans="1:16" ht="27" x14ac:dyDescent="0.2">
      <c r="A13" s="84"/>
      <c r="B13" s="86" t="s">
        <v>19</v>
      </c>
      <c r="C13" s="87"/>
      <c r="D13" s="87"/>
      <c r="E13" s="85"/>
      <c r="F13" s="86" t="s">
        <v>20</v>
      </c>
      <c r="G13" s="87"/>
      <c r="H13" s="87"/>
      <c r="I13" s="70" t="str">
        <f ca="1">IF($I13="","",INDEX(CADTracker[Status],$I13))</f>
        <v/>
      </c>
      <c r="J13" s="75"/>
      <c r="K13" s="82" t="s">
        <v>21</v>
      </c>
      <c r="L13" s="81"/>
      <c r="M13" s="65"/>
      <c r="N13" s="59"/>
      <c r="O13" s="59"/>
      <c r="P13" s="8"/>
    </row>
    <row r="14" spans="1:16" ht="28.5" x14ac:dyDescent="0.2">
      <c r="A14" s="84"/>
      <c r="B14" s="88" t="s">
        <v>16</v>
      </c>
      <c r="C14" s="88" t="s">
        <v>22</v>
      </c>
      <c r="D14" s="88" t="s">
        <v>23</v>
      </c>
      <c r="E14" s="85"/>
      <c r="F14" s="88" t="s">
        <v>24</v>
      </c>
      <c r="G14" s="88" t="s">
        <v>22</v>
      </c>
      <c r="H14" s="88" t="s">
        <v>23</v>
      </c>
      <c r="I14" s="70" t="str">
        <f ca="1">IF($I14="","",INDEX(CADTracker[Status],$I14))</f>
        <v/>
      </c>
      <c r="J14" s="75"/>
      <c r="K14" s="80" t="s">
        <v>25</v>
      </c>
      <c r="L14" s="80" t="s">
        <v>22</v>
      </c>
      <c r="M14" s="71" t="s">
        <v>23</v>
      </c>
      <c r="N14" s="59"/>
      <c r="O14" s="59"/>
      <c r="P14" s="8"/>
    </row>
    <row r="15" spans="1:16" x14ac:dyDescent="0.2">
      <c r="A15" s="84"/>
      <c r="B15" s="33" t="s">
        <v>4</v>
      </c>
      <c r="C15" s="85">
        <f>SUMPRODUCT((CADTracker[Task]&lt;&gt;"")*(TRIM(CADTracker[Status])=TRIM($B15)))</f>
        <v>1</v>
      </c>
      <c r="D15" s="85">
        <f>SUMPRODUCT((CADTracker[Task]&lt;&gt;"")*(TRIM(CADTracker[Status])=TRIM($B15))*IF(CADTracker[[#This Row],[Qty]]="",1,IFERROR(--CADTracker[[#This Row],[Qty]],1)))</f>
        <v>1</v>
      </c>
      <c r="E15" s="85"/>
      <c r="F15" s="85" t="s">
        <v>26</v>
      </c>
      <c r="G15" s="85" cm="1">
        <f t="array" ref="G15">SUMPRODUCT((CADTracker[Task]&lt;&gt;"")*(TRIM(CADTracker[Request Type])=TRIM($F15)))</f>
        <v>0</v>
      </c>
      <c r="H15" s="85" cm="1">
        <f t="array" ref="H15">SUMPRODUCT((CADTracker[Task]&lt;&gt;"")*(TRIM(CADTracker[Request Type])=TRIM($F15))*IF(CADTracker[Qty]="",1,IFERROR(--CADTracker[Qty],1)))</f>
        <v>0</v>
      </c>
      <c r="I15" s="70" t="str">
        <f ca="1">IF($I15="","",INDEX(CADTracker[Status],$I15))</f>
        <v/>
      </c>
      <c r="J15" s="84"/>
      <c r="K15" s="85" t="s">
        <v>27</v>
      </c>
      <c r="L15" s="85" cm="1">
        <f t="array" ref="L15">SUMPRODUCT((CADTracker[Task]&lt;&gt;"")*(TRIM(CADTracker[Request Type])=TRIM($F15)))</f>
        <v>0</v>
      </c>
      <c r="M15" s="65" cm="1">
        <f t="array" ref="M15">SUMPRODUCT((CADTracker[Task]&lt;&gt;"")*(TRIM(CADTracker[Request Type])=TRIM($F15))*IF(CADTracker[Qty]="",1,IFERROR(--CADTracker[Qty],1)))</f>
        <v>0</v>
      </c>
      <c r="N15" s="59"/>
      <c r="O15" s="59"/>
      <c r="P15" s="8"/>
    </row>
    <row r="16" spans="1:16" x14ac:dyDescent="0.2">
      <c r="A16" s="84"/>
      <c r="B16" s="34" t="s">
        <v>5</v>
      </c>
      <c r="C16" s="85">
        <f>SUMPRODUCT((CADTracker[Task]&lt;&gt;"")*(TRIM(CADTracker[Status])=TRIM($B16)))</f>
        <v>1</v>
      </c>
      <c r="D16" s="85">
        <f>SUMPRODUCT((CADTracker[Task]&lt;&gt;"")*(TRIM(CADTracker[Status])=TRIM($B16))*IF(CADTracker[[#This Row],[Qty]]="",1,IFERROR(--CADTracker[[#This Row],[Qty]],1)))</f>
        <v>1</v>
      </c>
      <c r="E16" s="85"/>
      <c r="F16" s="85" t="s">
        <v>28</v>
      </c>
      <c r="G16" s="85" cm="1">
        <f t="array" ref="G16">SUMPRODUCT((CADTracker[Task]&lt;&gt;"")*(TRIM(CADTracker[Request Type])=TRIM($F16)))</f>
        <v>1</v>
      </c>
      <c r="H16" s="85" cm="1">
        <f t="array" ref="H16">SUMPRODUCT((CADTracker[Task]&lt;&gt;"")*(TRIM(CADTracker[Request Type])=TRIM($F16))*IF(CADTracker[Qty]="",1,IFERROR(--CADTracker[Qty],1)))</f>
        <v>25</v>
      </c>
      <c r="I16" s="70" t="e">
        <f ca="1">IF($I16="","",INDEX(CADTracker[Status],$I16))</f>
        <v>#VALUE!</v>
      </c>
      <c r="J16" s="84"/>
      <c r="K16" s="85" t="s">
        <v>29</v>
      </c>
      <c r="L16" s="85" cm="1">
        <f t="array" ref="L16">SUMPRODUCT((CADTracker[Task]&lt;&gt;"")*(TRIM(CADTracker[Request Type])=TRIM($F16)))</f>
        <v>1</v>
      </c>
      <c r="M16" s="65" cm="1">
        <f t="array" ref="M16">SUMPRODUCT((CADTracker[Task]&lt;&gt;"")*(TRIM(CADTracker[Request Type])=TRIM($F16))*IF(CADTracker[Qty]="",1,IFERROR(--CADTracker[Qty],1)))</f>
        <v>25</v>
      </c>
      <c r="N16" s="59"/>
      <c r="O16" s="59"/>
      <c r="P16" s="8"/>
    </row>
    <row r="17" spans="1:16" x14ac:dyDescent="0.2">
      <c r="A17" s="84"/>
      <c r="B17" s="35" t="s">
        <v>6</v>
      </c>
      <c r="C17" s="85">
        <f>SUMPRODUCT((CADTracker[Task]&lt;&gt;"")*(TRIM(CADTracker[Status])=TRIM($B17)))</f>
        <v>1</v>
      </c>
      <c r="D17" s="85">
        <f>SUMPRODUCT((CADTracker[Task]&lt;&gt;"")*(TRIM(CADTracker[Status])=TRIM($B17))*IF(CADTracker[[#This Row],[Qty]]="",1,IFERROR(--CADTracker[[#This Row],[Qty]],1)))</f>
        <v>1</v>
      </c>
      <c r="E17" s="85"/>
      <c r="F17" s="85" t="s">
        <v>30</v>
      </c>
      <c r="G17" s="85" cm="1">
        <f t="array" ref="G17">SUMPRODUCT((CADTracker[Task]&lt;&gt;"")*(TRIM(CADTracker[Request Type])=TRIM($F17)))</f>
        <v>2</v>
      </c>
      <c r="H17" s="85" cm="1">
        <f t="array" ref="H17">SUMPRODUCT((CADTracker[Task]&lt;&gt;"")*(TRIM(CADTracker[Request Type])=TRIM($F17))*IF(CADTracker[Qty]="",1,IFERROR(--CADTracker[Qty],1)))</f>
        <v>121</v>
      </c>
      <c r="I17" s="70" t="e">
        <f ca="1">IF($I17="","",INDEX(CADTracker[Status],$I17))</f>
        <v>#VALUE!</v>
      </c>
      <c r="J17" s="84"/>
      <c r="K17" s="85" t="s">
        <v>31</v>
      </c>
      <c r="L17" s="85" cm="1">
        <f t="array" ref="L17">SUMPRODUCT((CADTracker[Task]&lt;&gt;"")*(TRIM(CADTracker[Request Type])=TRIM($F17)))</f>
        <v>2</v>
      </c>
      <c r="M17" s="65" cm="1">
        <f t="array" ref="M17">SUMPRODUCT((CADTracker[Task]&lt;&gt;"")*(TRIM(CADTracker[Request Type])=TRIM($F17))*IF(CADTracker[Qty]="",1,IFERROR(--CADTracker[Qty],1)))</f>
        <v>121</v>
      </c>
      <c r="N17" s="59"/>
      <c r="O17" s="59"/>
      <c r="P17" s="8"/>
    </row>
    <row r="18" spans="1:16" x14ac:dyDescent="0.2">
      <c r="A18" s="84"/>
      <c r="B18" s="36" t="s">
        <v>8</v>
      </c>
      <c r="C18" s="85">
        <f>SUMPRODUCT((CADTracker[Task]&lt;&gt;"")*(TRIM(CADTracker[Status])=TRIM($B18)))</f>
        <v>1</v>
      </c>
      <c r="D18" s="85">
        <f>SUMPRODUCT((CADTracker[Task]&lt;&gt;"")*(TRIM(CADTracker[Status])=TRIM($B18))*IF(CADTracker[[#This Row],[Qty]]="",1,IFERROR(--CADTracker[[#This Row],[Qty]],1)))</f>
        <v>1</v>
      </c>
      <c r="E18" s="85"/>
      <c r="F18" s="85" t="s">
        <v>32</v>
      </c>
      <c r="G18" s="85" cm="1">
        <f t="array" ref="G18">SUMPRODUCT((CADTracker[Task]&lt;&gt;"")*(TRIM(CADTracker[Request Type])=TRIM($F18)))</f>
        <v>0</v>
      </c>
      <c r="H18" s="85" cm="1">
        <f t="array" ref="H18">SUMPRODUCT((CADTracker[Task]&lt;&gt;"")*(TRIM(CADTracker[Request Type])=TRIM($F18))*IF(CADTracker[Qty]="",1,IFERROR(--CADTracker[Qty],1)))</f>
        <v>0</v>
      </c>
      <c r="I18" s="70" t="e">
        <f ca="1">IF($I18="","",INDEX(CADTracker[Status],$I18))</f>
        <v>#VALUE!</v>
      </c>
      <c r="J18" s="84"/>
      <c r="K18" s="85" t="s">
        <v>33</v>
      </c>
      <c r="L18" s="85" cm="1">
        <f t="array" ref="L18">SUMPRODUCT((CADTracker[Task]&lt;&gt;"")*(TRIM(CADTracker[Request Type])=TRIM($F18)))</f>
        <v>0</v>
      </c>
      <c r="M18" s="65" cm="1">
        <f t="array" ref="M18">SUMPRODUCT((CADTracker[Task]&lt;&gt;"")*(TRIM(CADTracker[Request Type])=TRIM($F18))*IF(CADTracker[Qty]="",1,IFERROR(--CADTracker[Qty],1)))</f>
        <v>0</v>
      </c>
      <c r="N18" s="59"/>
      <c r="O18" s="59"/>
      <c r="P18" s="8"/>
    </row>
    <row r="19" spans="1:16" x14ac:dyDescent="0.2">
      <c r="A19" s="84"/>
      <c r="B19" s="37" t="s">
        <v>7</v>
      </c>
      <c r="C19" s="85">
        <f>SUMPRODUCT((CADTracker[Task]&lt;&gt;"")*(TRIM(CADTracker[Status])=TRIM($B19)))</f>
        <v>1</v>
      </c>
      <c r="D19" s="85">
        <f>SUMPRODUCT((CADTracker[Task]&lt;&gt;"")*(TRIM(CADTracker[Status])=TRIM($B19))*IF(CADTracker[[#This Row],[Qty]]="",1,IFERROR(--CADTracker[[#This Row],[Qty]],1)))</f>
        <v>1</v>
      </c>
      <c r="E19" s="85"/>
      <c r="F19" s="85" t="s">
        <v>34</v>
      </c>
      <c r="G19" s="85" cm="1">
        <f t="array" ref="G19">SUMPRODUCT((CADTracker[Task]&lt;&gt;"")*(TRIM(CADTracker[Request Type])=TRIM($F19)))</f>
        <v>3</v>
      </c>
      <c r="H19" s="85" cm="1">
        <f t="array" ref="H19">SUMPRODUCT((CADTracker[Task]&lt;&gt;"")*(TRIM(CADTracker[Request Type])=TRIM($F19))*IF(CADTracker[Qty]="",1,IFERROR(--CADTracker[Qty],1)))</f>
        <v>3</v>
      </c>
      <c r="I19" s="70" t="e">
        <f ca="1">IF($I19="","",INDEX(CADTracker[Status],$I19))</f>
        <v>#VALUE!</v>
      </c>
      <c r="J19" s="84"/>
      <c r="K19" s="85" t="s">
        <v>35</v>
      </c>
      <c r="L19" s="85" cm="1">
        <f t="array" ref="L19">SUMPRODUCT((CADTracker[Task]&lt;&gt;"")*(TRIM(CADTracker[Request Type])=TRIM($F19)))</f>
        <v>3</v>
      </c>
      <c r="M19" s="65" cm="1">
        <f t="array" ref="M19">SUMPRODUCT((CADTracker[Task]&lt;&gt;"")*(TRIM(CADTracker[Request Type])=TRIM($F19))*IF(CADTracker[Qty]="",1,IFERROR(--CADTracker[Qty],1)))</f>
        <v>3</v>
      </c>
      <c r="N19" s="59"/>
      <c r="O19" s="59"/>
      <c r="P19" s="8"/>
    </row>
    <row r="20" spans="1:16" ht="14.25" customHeight="1" x14ac:dyDescent="0.2">
      <c r="A20" s="84"/>
      <c r="B20" s="38" t="s">
        <v>36</v>
      </c>
      <c r="C20" s="85">
        <f>SUMPRODUCT((CADTracker[Task]&lt;&gt;"")*(TRIM(CADTracker[Status])=TRIM($B20)))</f>
        <v>1</v>
      </c>
      <c r="D20" s="85">
        <f>SUMPRODUCT((CADTracker[Task]&lt;&gt;"")*(TRIM(CADTracker[Status])=TRIM($B20))*IF(CADTracker[[#This Row],[Qty]]="",1,IFERROR(--CADTracker[[#This Row],[Qty]],1)))</f>
        <v>1</v>
      </c>
      <c r="E20" s="85"/>
      <c r="F20" s="85"/>
      <c r="G20" s="85">
        <f>COUNTIFS(CADTracker[Task],"&lt;&gt;",CADTracker[Status],B20)</f>
        <v>1</v>
      </c>
      <c r="H20" s="85" cm="1">
        <f t="array" ref="H20">SUMPRODUCT((CADTracker[Task]&lt;&gt;"")*(CADTracker[Status]=B20)*IF(CADTracker[Qty]="",1,IFERROR(N(CADTracker[Qty]),1)))</f>
        <v>120</v>
      </c>
      <c r="I20" s="70" t="e">
        <f ca="1">IF($I20="","",INDEX(CADTracker[Status],$I20))</f>
        <v>#VALUE!</v>
      </c>
      <c r="J20" s="84"/>
      <c r="K20" s="85" t="s">
        <v>37</v>
      </c>
      <c r="L20" s="85">
        <f>COUNTIFS(CADTracker[Task],"&lt;&gt;",CADTracker[Deliverable Type],#REF!)</f>
        <v>0</v>
      </c>
      <c r="M20" s="65">
        <f>SUMIFS(CADTracker[Qty],CADTracker[Task],"&lt;&gt;",CADTracker[Deliverable Type],#REF!)+COUNTIFS(CADTracker[Task],"&lt;&gt;",CADTracker[Deliverable Type],#REF!,CADTracker[Qty],"")</f>
        <v>0</v>
      </c>
      <c r="N20" s="59"/>
      <c r="O20" s="59"/>
      <c r="P20" s="7"/>
    </row>
    <row r="21" spans="1:16" x14ac:dyDescent="0.2">
      <c r="A21" s="84"/>
      <c r="B21" s="84"/>
      <c r="C21" s="84"/>
      <c r="D21" s="84"/>
      <c r="E21" s="84"/>
      <c r="F21" s="84"/>
      <c r="G21" s="84"/>
      <c r="H21" s="84"/>
      <c r="I21" s="59"/>
      <c r="J21" s="59"/>
      <c r="K21" s="59"/>
      <c r="L21" s="59"/>
      <c r="M21" s="59"/>
      <c r="N21" s="59"/>
      <c r="O21" s="59"/>
      <c r="P21" s="8"/>
    </row>
    <row r="22" spans="1:16" x14ac:dyDescent="0.2">
      <c r="A22" s="84"/>
      <c r="B22" s="84"/>
      <c r="C22" s="84"/>
      <c r="D22" s="84"/>
      <c r="E22" s="84"/>
      <c r="F22" s="84"/>
      <c r="G22" s="84"/>
      <c r="H22" s="84"/>
      <c r="I22" s="59"/>
      <c r="J22" s="59"/>
      <c r="K22" s="59"/>
      <c r="L22" s="59"/>
      <c r="M22" s="59"/>
      <c r="N22" s="59"/>
      <c r="O22" s="59"/>
      <c r="P22" s="8"/>
    </row>
    <row r="23" spans="1:16" x14ac:dyDescent="0.2">
      <c r="A23" s="84"/>
      <c r="B23" s="84"/>
      <c r="C23" s="84"/>
      <c r="D23" s="86" t="s">
        <v>38</v>
      </c>
      <c r="E23" s="85"/>
      <c r="F23" s="85"/>
      <c r="G23" s="85"/>
      <c r="H23" s="85"/>
      <c r="I23" s="65"/>
      <c r="J23" s="59"/>
      <c r="K23" s="59"/>
      <c r="L23" s="59"/>
      <c r="M23" s="59"/>
      <c r="N23" s="59"/>
      <c r="O23" s="59"/>
      <c r="P23" s="8"/>
    </row>
    <row r="24" spans="1:16" x14ac:dyDescent="0.2">
      <c r="A24" s="84"/>
      <c r="B24" s="84"/>
      <c r="C24" s="84"/>
      <c r="D24" s="89" t="s">
        <v>17</v>
      </c>
      <c r="E24" s="89" t="s">
        <v>3</v>
      </c>
      <c r="F24" s="89" t="s">
        <v>39</v>
      </c>
      <c r="G24" s="89" t="s">
        <v>83</v>
      </c>
      <c r="H24" s="89" t="s">
        <v>9</v>
      </c>
      <c r="I24" s="71" t="s">
        <v>8</v>
      </c>
      <c r="J24" s="59"/>
      <c r="K24" s="59"/>
      <c r="L24" s="59"/>
      <c r="M24" s="59"/>
      <c r="N24" s="59"/>
      <c r="O24" s="59"/>
      <c r="P24" s="8"/>
    </row>
    <row r="25" spans="1:16" x14ac:dyDescent="0.2">
      <c r="A25" s="84"/>
      <c r="B25" s="84"/>
      <c r="C25" s="84"/>
      <c r="D25" s="85" t="s">
        <v>41</v>
      </c>
      <c r="E25" s="85">
        <f>SUMPRODUCT((CADTracker[Task]&lt;&gt;"")*(TRIM(CADTracker[Owner])=TRIM($D25))*(TRIM(CADTracker[Status])&lt;&gt;"Done")*(TRIM(CADTracker[Status])&lt;&gt;"Cancelled"))</f>
        <v>0</v>
      </c>
      <c r="F25" s="85">
        <f>SUMPRODUCT((CADTracker[Task]&lt;&gt;"")*(TRIM(CADTracker[Owner])=TRIM($D25))*(TRIM(CADTracker[Status])&lt;&gt;"Done")*(TRIM(CADTracker[Status])&lt;&gt;"Cancelled")*IF(CADTracker[[#This Row],[Qty]]="",1,IFERROR(--CADTracker[[#This Row],[Qty]],1)))</f>
        <v>0</v>
      </c>
      <c r="G25" s="85" t="str">
        <f t="shared" ref="G25:G33" si="0">IF(F25=0,"",REPT("█",ROUNDUP(F25/5,0)))</f>
        <v/>
      </c>
      <c r="H25" s="85">
        <v>0</v>
      </c>
      <c r="I25" s="65">
        <f>COUNTIFS('CAD Tracker'!$H$2:$H$199,"&lt;&gt;",'CAD Tracker'!$K$2:$K$199,D25,'CAD Tracker'!$J$2:$J$199,"Done")</f>
        <v>0</v>
      </c>
      <c r="J25" s="59"/>
      <c r="K25" s="59"/>
      <c r="L25" s="59"/>
      <c r="M25" s="59"/>
      <c r="N25" s="59"/>
      <c r="O25" s="59"/>
      <c r="P25" s="8"/>
    </row>
    <row r="26" spans="1:16" x14ac:dyDescent="0.2">
      <c r="A26" s="59"/>
      <c r="B26" s="59"/>
      <c r="C26" s="59"/>
      <c r="D26" s="79" t="s">
        <v>42</v>
      </c>
      <c r="E26" s="79">
        <f>SUMPRODUCT((CADTracker[Task]&lt;&gt;"")*(TRIM(CADTracker[Owner])=TRIM($D26))*(TRIM(CADTracker[Status])&lt;&gt;"Done")*(TRIM(CADTracker[Status])&lt;&gt;"Cancelled"))</f>
        <v>0</v>
      </c>
      <c r="F26" s="79">
        <f>SUMPRODUCT((CADTracker[Task]&lt;&gt;"")*(TRIM(CADTracker[Owner])=TRIM($D26))*(TRIM(CADTracker[Status])&lt;&gt;"Done")*(TRIM(CADTracker[Status])&lt;&gt;"Cancelled")*IF(CADTracker[[#This Row],[Qty]]="",1,IFERROR(--CADTracker[[#This Row],[Qty]],1)))</f>
        <v>0</v>
      </c>
      <c r="G26" s="79" t="str">
        <f t="shared" si="0"/>
        <v/>
      </c>
      <c r="H26" s="79">
        <f ca="1">COUNTIFS('CAD Tracker'!$H$2:$H$199,"&lt;&gt;",'CAD Tracker'!$K$2:$K$199,D26,'CAD Tracker'!$N$2:$N$199,"&lt;"&amp;TODAY(),'CAD Tracker'!$J$2:$J$199,"&lt;&gt;Done",'CAD Tracker'!$J$2:$J$199,"&lt;&gt;Cancelled")</f>
        <v>0</v>
      </c>
      <c r="I26" s="65">
        <f>COUNTIFS('CAD Tracker'!$H$2:$H$199,"&lt;&gt;",'CAD Tracker'!$K$2:$K$199,D26,'CAD Tracker'!$J$2:$J$199,"Done")</f>
        <v>0</v>
      </c>
      <c r="J26" s="59"/>
      <c r="K26" s="59"/>
      <c r="L26" s="59"/>
      <c r="M26" s="59"/>
      <c r="N26" s="59"/>
      <c r="O26" s="59"/>
    </row>
    <row r="27" spans="1:16" ht="27" customHeight="1" x14ac:dyDescent="0.2">
      <c r="A27" s="59"/>
      <c r="B27" s="59"/>
      <c r="C27" s="59"/>
      <c r="D27" s="79" t="s">
        <v>43</v>
      </c>
      <c r="E27" s="79">
        <f>SUMPRODUCT((CADTracker[Task]&lt;&gt;"")*(TRIM(CADTracker[Owner])=TRIM($D27))*(TRIM(CADTracker[Status])&lt;&gt;"Done")*(TRIM(CADTracker[Status])&lt;&gt;"Cancelled"))</f>
        <v>0</v>
      </c>
      <c r="F27" s="79">
        <f>SUMPRODUCT((CADTracker[Task]&lt;&gt;"")*(TRIM(CADTracker[Owner])=TRIM($D27))*(TRIM(CADTracker[Status])&lt;&gt;"Done")*(TRIM(CADTracker[Status])&lt;&gt;"Cancelled")*IF(CADTracker[[#This Row],[Qty]]="",1,IFERROR(--CADTracker[[#This Row],[Qty]],1)))</f>
        <v>0</v>
      </c>
      <c r="G27" s="79" t="str">
        <f t="shared" si="0"/>
        <v/>
      </c>
      <c r="H27" s="79">
        <f ca="1">COUNTIFS('CAD Tracker'!$H$2:$H$199,"&lt;&gt;",'CAD Tracker'!$K$2:$K$199,D27,'CAD Tracker'!$N$2:$N$199,"&lt;"&amp;TODAY(),'CAD Tracker'!$J$2:$J$199,"&lt;&gt;Done",'CAD Tracker'!$J$2:$J$199,"&lt;&gt;Cancelled")</f>
        <v>0</v>
      </c>
      <c r="I27" s="65">
        <f>COUNTIFS('CAD Tracker'!$H$2:$H$199,"&lt;&gt;",'CAD Tracker'!$K$2:$K$199,D27,'CAD Tracker'!$J$2:$J$199,"Done")</f>
        <v>1</v>
      </c>
      <c r="J27" s="59"/>
      <c r="K27" s="59"/>
      <c r="L27" s="59"/>
      <c r="M27" s="59"/>
      <c r="N27" s="59"/>
      <c r="O27" s="59"/>
    </row>
    <row r="28" spans="1:16" x14ac:dyDescent="0.2">
      <c r="A28" s="59"/>
      <c r="B28" s="59"/>
      <c r="C28" s="59"/>
      <c r="D28" s="85" t="s">
        <v>44</v>
      </c>
      <c r="E28" s="85">
        <f>SUMPRODUCT((CADTracker[Task]&lt;&gt;"")*(TRIM(CADTracker[Owner])=TRIM($D28))*(TRIM(CADTracker[Status])&lt;&gt;"Done")*(TRIM(CADTracker[Status])&lt;&gt;"Cancelled"))</f>
        <v>0</v>
      </c>
      <c r="F28" s="85">
        <f>SUMPRODUCT((CADTracker[Task]&lt;&gt;"")*(TRIM(CADTracker[Owner])=TRIM($D28))*(TRIM(CADTracker[Status])&lt;&gt;"Done")*(TRIM(CADTracker[Status])&lt;&gt;"Cancelled")*IF(CADTracker[[#This Row],[Qty]]="",1,IFERROR(--CADTracker[[#This Row],[Qty]],1)))</f>
        <v>0</v>
      </c>
      <c r="G28" s="85" t="str">
        <f t="shared" si="0"/>
        <v/>
      </c>
      <c r="H28" s="85">
        <f ca="1">COUNTIFS('CAD Tracker'!$H$2:$H$199,"&lt;&gt;",'CAD Tracker'!$K$2:$K$199,D28,'CAD Tracker'!$N$2:$N$199,"&lt;"&amp;TODAY(),'CAD Tracker'!$J$2:$J$199,"&lt;&gt;Done",'CAD Tracker'!$J$2:$J$199,"&lt;&gt;Cancelled")</f>
        <v>0</v>
      </c>
      <c r="I28" s="65">
        <f>COUNTIFS('CAD Tracker'!$H$2:$H$199,"&lt;&gt;",'CAD Tracker'!$K$2:$K$199,D28,'CAD Tracker'!$J$2:$J$199,"Done")</f>
        <v>0</v>
      </c>
      <c r="J28" s="59"/>
      <c r="K28" s="59"/>
      <c r="L28" s="59"/>
      <c r="M28" s="59"/>
      <c r="N28" s="59"/>
      <c r="O28" s="59"/>
    </row>
    <row r="29" spans="1:16" x14ac:dyDescent="0.2">
      <c r="A29" s="59"/>
      <c r="B29" s="59"/>
      <c r="C29" s="59"/>
      <c r="D29" s="85" t="s">
        <v>45</v>
      </c>
      <c r="E29" s="85">
        <f>SUMPRODUCT((CADTracker[Task]&lt;&gt;"")*(TRIM(CADTracker[Owner])=TRIM($D29))*(TRIM(CADTracker[Status])&lt;&gt;"Done")*(TRIM(CADTracker[Status])&lt;&gt;"Cancelled"))</f>
        <v>0</v>
      </c>
      <c r="F29" s="85">
        <f>SUMPRODUCT((CADTracker[Task]&lt;&gt;"")*(TRIM(CADTracker[Owner])=TRIM($D29))*(TRIM(CADTracker[Status])&lt;&gt;"Done")*(TRIM(CADTracker[Status])&lt;&gt;"Cancelled")*IF(CADTracker[[#This Row],[Qty]]="",1,IFERROR(--CADTracker[[#This Row],[Qty]],1)))</f>
        <v>0</v>
      </c>
      <c r="G29" s="85" t="str">
        <f t="shared" si="0"/>
        <v/>
      </c>
      <c r="H29" s="85">
        <f ca="1">COUNTIFS('CAD Tracker'!$H$2:$H$199,"&lt;&gt;",'CAD Tracker'!$K$2:$K$199,D29,'CAD Tracker'!$N$2:$N$199,"&lt;"&amp;TODAY(),'CAD Tracker'!$J$2:$J$199,"&lt;&gt;Done",'CAD Tracker'!$J$2:$J$199,"&lt;&gt;Cancelled")</f>
        <v>0</v>
      </c>
      <c r="I29" s="65">
        <f>COUNTIFS('CAD Tracker'!$H$2:$H$199,"&lt;&gt;",'CAD Tracker'!$K$2:$K$199,D29,'CAD Tracker'!$J$2:$J$199,"Done")</f>
        <v>0</v>
      </c>
      <c r="J29" s="59"/>
      <c r="K29" s="59"/>
      <c r="L29" s="59"/>
      <c r="M29" s="59"/>
      <c r="N29" s="59"/>
      <c r="O29" s="59"/>
    </row>
    <row r="30" spans="1:16" x14ac:dyDescent="0.2">
      <c r="A30" s="59"/>
      <c r="B30" s="59"/>
      <c r="C30" s="59"/>
      <c r="D30" s="85" t="s">
        <v>46</v>
      </c>
      <c r="E30" s="85">
        <f>SUMPRODUCT((CADTracker[Task]&lt;&gt;"")*(TRIM(CADTracker[Owner])=TRIM($D30))*(TRIM(CADTracker[Status])&lt;&gt;"Done")*(TRIM(CADTracker[Status])&lt;&gt;"Cancelled"))</f>
        <v>0</v>
      </c>
      <c r="F30" s="85">
        <f>SUMPRODUCT((CADTracker[Task]&lt;&gt;"")*(TRIM(CADTracker[Owner])=TRIM($D30))*(TRIM(CADTracker[Status])&lt;&gt;"Done")*(TRIM(CADTracker[Status])&lt;&gt;"Cancelled")*IF(CADTracker[[#This Row],[Qty]]="",1,IFERROR(--CADTracker[[#This Row],[Qty]],1)))</f>
        <v>0</v>
      </c>
      <c r="G30" s="85" t="str">
        <f t="shared" si="0"/>
        <v/>
      </c>
      <c r="H30" s="85">
        <f ca="1">COUNTIFS('CAD Tracker'!$H$2:$H$199,"&lt;&gt;",'CAD Tracker'!$K$2:$K$199,D30,'CAD Tracker'!$N$2:$N$199,"&lt;"&amp;TODAY(),'CAD Tracker'!$J$2:$J$199,"&lt;&gt;Done",'CAD Tracker'!$J$2:$J$199,"&lt;&gt;Cancelled")</f>
        <v>0</v>
      </c>
      <c r="I30" s="65">
        <f>COUNTIFS('CAD Tracker'!$H$2:$H$199,"&lt;&gt;",'CAD Tracker'!$K$2:$K$199,D30,'CAD Tracker'!$J$2:$J$199,"Done")</f>
        <v>0</v>
      </c>
      <c r="J30" s="59"/>
      <c r="K30" s="59"/>
      <c r="L30" s="59"/>
      <c r="M30" s="59"/>
      <c r="N30" s="59"/>
      <c r="O30" s="59"/>
    </row>
    <row r="31" spans="1:16" x14ac:dyDescent="0.2">
      <c r="A31" s="59"/>
      <c r="B31" s="59"/>
      <c r="C31" s="59"/>
      <c r="D31" s="85" t="s">
        <v>47</v>
      </c>
      <c r="E31" s="85">
        <f>SUMPRODUCT((CADTracker[Task]&lt;&gt;"")*(TRIM(CADTracker[Owner])=TRIM($D31))*(TRIM(CADTracker[Status])&lt;&gt;"Done")*(TRIM(CADTracker[Status])&lt;&gt;"Cancelled"))</f>
        <v>0</v>
      </c>
      <c r="F31" s="85">
        <f>SUMPRODUCT((CADTracker[Task]&lt;&gt;"")*(TRIM(CADTracker[Owner])=TRIM($D31))*(TRIM(CADTracker[Status])&lt;&gt;"Done")*(TRIM(CADTracker[Status])&lt;&gt;"Cancelled")*IF(CADTracker[[#This Row],[Qty]]="",1,IFERROR(--CADTracker[[#This Row],[Qty]],1)))</f>
        <v>0</v>
      </c>
      <c r="G31" s="85" t="str">
        <f t="shared" si="0"/>
        <v/>
      </c>
      <c r="H31" s="85">
        <f ca="1">COUNTIFS('CAD Tracker'!$H$2:$H$199,"&lt;&gt;",'CAD Tracker'!$K$2:$K$199,D31,'CAD Tracker'!$N$2:$N$199,"&lt;"&amp;TODAY(),'CAD Tracker'!$J$2:$J$199,"&lt;&gt;Done",'CAD Tracker'!$J$2:$J$199,"&lt;&gt;Cancelled")</f>
        <v>0</v>
      </c>
      <c r="I31" s="65">
        <f>COUNTIFS('CAD Tracker'!$H$2:$H$199,"&lt;&gt;",'CAD Tracker'!$K$2:$K$199,D31,'CAD Tracker'!$J$2:$J$199,"Done")</f>
        <v>0</v>
      </c>
      <c r="J31" s="59"/>
      <c r="K31" s="59"/>
      <c r="L31" s="59"/>
      <c r="M31" s="59"/>
      <c r="N31" s="59"/>
      <c r="O31" s="59"/>
    </row>
    <row r="32" spans="1:16" x14ac:dyDescent="0.2">
      <c r="A32" s="59"/>
      <c r="B32" s="59"/>
      <c r="C32" s="59"/>
      <c r="D32" s="85" t="s">
        <v>48</v>
      </c>
      <c r="E32" s="85">
        <f>SUMPRODUCT((CADTracker[Task]&lt;&gt;"")*(TRIM(CADTracker[Owner])=TRIM($D32))*(TRIM(CADTracker[Status])&lt;&gt;"Done")*(TRIM(CADTracker[Status])&lt;&gt;"Cancelled"))</f>
        <v>1</v>
      </c>
      <c r="F32" s="85">
        <f>SUMPRODUCT((CADTracker[Task]&lt;&gt;"")*(TRIM(CADTracker[Owner])=TRIM($D32))*(TRIM(CADTracker[Status])&lt;&gt;"Done")*(TRIM(CADTracker[Status])&lt;&gt;"Cancelled")*IF(CADTracker[[#This Row],[Qty]]="",1,IFERROR(--CADTracker[[#This Row],[Qty]],1)))</f>
        <v>1</v>
      </c>
      <c r="G32" s="85" t="str">
        <f t="shared" si="0"/>
        <v>█</v>
      </c>
      <c r="H32" s="85">
        <f ca="1">COUNTIFS('CAD Tracker'!$H$2:$H$199,"&lt;&gt;",'CAD Tracker'!$K$2:$K$199,D32,'CAD Tracker'!$N$2:$N$199,"&lt;"&amp;TODAY(),'CAD Tracker'!$J$2:$J$199,"&lt;&gt;Done",'CAD Tracker'!$J$2:$J$199,"&lt;&gt;Cancelled")</f>
        <v>0</v>
      </c>
      <c r="I32" s="65">
        <f>COUNTIFS('CAD Tracker'!$H$2:$H$199,"&lt;&gt;",'CAD Tracker'!$K$2:$K$199,D32,'CAD Tracker'!$J$2:$J$199,"Done")</f>
        <v>0</v>
      </c>
      <c r="J32" s="59"/>
      <c r="K32" s="59"/>
      <c r="L32" s="59"/>
      <c r="M32" s="59"/>
      <c r="N32" s="59"/>
      <c r="O32" s="59"/>
    </row>
    <row r="33" spans="1:15" x14ac:dyDescent="0.2">
      <c r="A33" s="59"/>
      <c r="B33" s="59"/>
      <c r="C33" s="59"/>
      <c r="D33" s="85" t="s">
        <v>49</v>
      </c>
      <c r="E33" s="85">
        <f>SUMPRODUCT((CADTracker[Task]&lt;&gt;"")*(TRIM(CADTracker[Owner])=TRIM($D33))*(TRIM(CADTracker[Status])&lt;&gt;"Done")*(TRIM(CADTracker[Status])&lt;&gt;"Cancelled"))</f>
        <v>3</v>
      </c>
      <c r="F33" s="85">
        <f>SUMPRODUCT((CADTracker[Task]&lt;&gt;"")*(TRIM(CADTracker[Owner])=TRIM($D33))*(TRIM(CADTracker[Status])&lt;&gt;"Done")*(TRIM(CADTracker[Status])&lt;&gt;"Cancelled")*IF(CADTracker[[#This Row],[Qty]]="",1,IFERROR(--CADTracker[[#This Row],[Qty]],1)))</f>
        <v>3</v>
      </c>
      <c r="G33" s="85" t="str">
        <f t="shared" si="0"/>
        <v>█</v>
      </c>
      <c r="H33" s="85">
        <f ca="1">COUNTIFS('CAD Tracker'!$H$2:$H$199,"&lt;&gt;",'CAD Tracker'!$K$2:$K$199,D33,'CAD Tracker'!$N$2:$N$199,"&lt;"&amp;TODAY(),'CAD Tracker'!$J$2:$J$199,"&lt;&gt;Done",'CAD Tracker'!$J$2:$J$199,"&lt;&gt;Cancelled")</f>
        <v>0</v>
      </c>
      <c r="I33" s="65">
        <f>COUNTIFS('CAD Tracker'!$H$2:$H$199,"&lt;&gt;",'CAD Tracker'!$K$2:$K$199,D33,'CAD Tracker'!$J$2:$J$199,"Done")</f>
        <v>0</v>
      </c>
      <c r="J33" s="59"/>
      <c r="K33" s="59"/>
      <c r="L33" s="59"/>
      <c r="M33" s="59"/>
      <c r="N33" s="59"/>
      <c r="O33" s="59"/>
    </row>
    <row r="34" spans="1:15" x14ac:dyDescent="0.2">
      <c r="A34" s="59"/>
      <c r="B34" s="59"/>
      <c r="C34" s="59"/>
      <c r="D34" s="85"/>
      <c r="E34" s="85"/>
      <c r="F34" s="85"/>
      <c r="G34" s="85"/>
      <c r="H34" s="85"/>
      <c r="I34" s="65"/>
      <c r="J34" s="59"/>
      <c r="K34" s="59"/>
      <c r="L34" s="83" t="s">
        <v>87</v>
      </c>
      <c r="M34" s="83"/>
      <c r="N34" s="83"/>
      <c r="O34" s="59"/>
    </row>
    <row r="35" spans="1:15" x14ac:dyDescent="0.2">
      <c r="A35" s="59"/>
      <c r="B35" s="59"/>
      <c r="C35" s="59"/>
      <c r="D35" s="85"/>
      <c r="E35" s="85"/>
      <c r="F35" s="85"/>
      <c r="G35" s="85"/>
      <c r="H35" s="85"/>
      <c r="I35" s="65"/>
      <c r="J35" s="59"/>
      <c r="K35" s="59"/>
      <c r="L35" s="59"/>
      <c r="M35" s="59"/>
      <c r="N35" s="59"/>
      <c r="O35" s="59"/>
    </row>
    <row r="36" spans="1:15" x14ac:dyDescent="0.2">
      <c r="A36" s="59"/>
      <c r="B36" s="59"/>
      <c r="C36" s="59"/>
      <c r="D36" s="84"/>
      <c r="E36" s="84"/>
      <c r="F36" s="84"/>
      <c r="G36" s="84"/>
      <c r="H36" s="84"/>
      <c r="I36" s="59"/>
      <c r="J36" s="59"/>
      <c r="K36" s="59"/>
      <c r="L36" s="59"/>
      <c r="M36" s="59"/>
      <c r="N36" s="59"/>
      <c r="O36" s="59"/>
    </row>
    <row r="37" spans="1:15" x14ac:dyDescent="0.2">
      <c r="A37" s="59"/>
      <c r="B37" s="59"/>
      <c r="C37" s="59"/>
      <c r="D37" s="84"/>
      <c r="E37" s="84"/>
      <c r="F37" s="84"/>
      <c r="G37" s="84"/>
      <c r="H37" s="84"/>
      <c r="I37" s="59"/>
      <c r="J37" s="59"/>
      <c r="K37" s="59"/>
      <c r="L37" s="73" t="s">
        <v>88</v>
      </c>
      <c r="M37" s="72"/>
      <c r="N37" s="72"/>
      <c r="O37" s="59"/>
    </row>
    <row r="38" spans="1:15" x14ac:dyDescent="0.2">
      <c r="A38" s="59"/>
      <c r="B38" s="59"/>
      <c r="C38" s="59"/>
      <c r="D38" s="84"/>
      <c r="E38" s="84"/>
      <c r="F38" s="84"/>
      <c r="G38" s="84"/>
      <c r="H38" s="84"/>
      <c r="I38" s="59"/>
      <c r="J38" s="59"/>
      <c r="K38" s="59"/>
      <c r="L38" s="59"/>
      <c r="M38" s="59"/>
      <c r="N38" s="59"/>
      <c r="O38" s="59"/>
    </row>
    <row r="39" spans="1:15" ht="27" customHeight="1" x14ac:dyDescent="0.2">
      <c r="A39" s="59"/>
      <c r="B39" s="59"/>
      <c r="C39" s="59"/>
      <c r="D39" s="84"/>
      <c r="E39" s="84"/>
      <c r="F39" s="84"/>
      <c r="G39" s="84"/>
      <c r="H39" s="84"/>
      <c r="I39" s="59"/>
      <c r="J39" s="59"/>
      <c r="K39" s="59"/>
      <c r="L39" s="59"/>
      <c r="M39" s="59"/>
      <c r="N39" s="59"/>
      <c r="O39" s="59"/>
    </row>
    <row r="40" spans="1:15" x14ac:dyDescent="0.2">
      <c r="A40" s="59"/>
      <c r="B40" s="59"/>
      <c r="C40" s="59"/>
      <c r="D40" s="84"/>
      <c r="E40" s="84"/>
      <c r="F40" s="84"/>
      <c r="G40" s="84"/>
      <c r="H40" s="84"/>
      <c r="I40" s="59"/>
      <c r="J40" s="59"/>
      <c r="K40" s="59"/>
      <c r="L40" s="59"/>
      <c r="M40" s="59"/>
      <c r="N40" s="59"/>
      <c r="O40" s="59"/>
    </row>
    <row r="41" spans="1:15" x14ac:dyDescent="0.2">
      <c r="A41" s="59"/>
      <c r="B41" s="59"/>
      <c r="C41" s="59"/>
      <c r="D41" s="84"/>
      <c r="E41" s="84"/>
      <c r="F41" s="84"/>
      <c r="G41" s="84"/>
      <c r="H41" s="84"/>
      <c r="I41" s="59"/>
      <c r="J41" s="59"/>
      <c r="K41" s="59"/>
      <c r="L41" s="59"/>
      <c r="M41" s="59"/>
      <c r="N41" s="59"/>
      <c r="O41" s="59"/>
    </row>
    <row r="42" spans="1:15" x14ac:dyDescent="0.2">
      <c r="A42" s="59"/>
      <c r="B42" s="59"/>
      <c r="C42" s="59"/>
      <c r="D42" s="84"/>
      <c r="E42" s="84"/>
      <c r="F42" s="84"/>
      <c r="G42" s="84"/>
      <c r="H42" s="84"/>
      <c r="I42" s="59"/>
      <c r="J42" s="59"/>
      <c r="K42" s="59"/>
      <c r="L42" s="59"/>
      <c r="M42" s="59"/>
      <c r="N42" s="59"/>
      <c r="O42" s="59"/>
    </row>
    <row r="43" spans="1:15" x14ac:dyDescent="0.2">
      <c r="A43" s="59"/>
      <c r="B43" s="59"/>
      <c r="C43" s="59"/>
      <c r="D43" s="84"/>
      <c r="E43" s="84"/>
      <c r="F43" s="84"/>
      <c r="G43" s="84"/>
      <c r="H43" s="84"/>
      <c r="I43" s="59"/>
      <c r="J43" s="59"/>
      <c r="K43" s="59"/>
      <c r="L43" s="59"/>
      <c r="M43" s="59"/>
      <c r="N43" s="59"/>
      <c r="O43" s="59"/>
    </row>
    <row r="44" spans="1:15" x14ac:dyDescent="0.2">
      <c r="A44" s="59"/>
      <c r="B44" s="59"/>
      <c r="C44" s="59"/>
      <c r="D44" s="84"/>
      <c r="E44" s="84"/>
      <c r="F44" s="84"/>
      <c r="G44" s="84"/>
      <c r="H44" s="84"/>
      <c r="I44" s="59"/>
      <c r="J44" s="59"/>
      <c r="K44" s="59"/>
      <c r="L44" s="59"/>
      <c r="M44" s="59"/>
      <c r="N44" s="59"/>
      <c r="O44" s="59"/>
    </row>
    <row r="45" spans="1:15" x14ac:dyDescent="0.2">
      <c r="A45" s="59"/>
      <c r="B45" s="59"/>
      <c r="C45" s="59"/>
      <c r="D45" s="84"/>
      <c r="E45" s="84"/>
      <c r="F45" s="84"/>
      <c r="G45" s="84"/>
      <c r="H45" s="84"/>
      <c r="I45" s="59"/>
      <c r="J45" s="59"/>
      <c r="K45" s="59"/>
      <c r="L45" s="59"/>
      <c r="M45" s="59"/>
      <c r="N45" s="59"/>
      <c r="O45" s="59"/>
    </row>
    <row r="46" spans="1:15" x14ac:dyDescent="0.2">
      <c r="A46" s="59"/>
      <c r="B46" s="59"/>
      <c r="C46" s="59"/>
      <c r="D46" s="84"/>
      <c r="E46" s="84"/>
      <c r="F46" s="84"/>
      <c r="G46" s="84"/>
      <c r="H46" s="84"/>
      <c r="I46" s="59"/>
      <c r="J46" s="59"/>
      <c r="K46" s="59"/>
      <c r="L46" s="59"/>
      <c r="M46" s="59"/>
      <c r="N46" s="59"/>
      <c r="O46" s="59"/>
    </row>
    <row r="47" spans="1:15" x14ac:dyDescent="0.2">
      <c r="A47" s="59"/>
      <c r="B47" s="59"/>
      <c r="C47" s="59"/>
      <c r="D47" s="84"/>
      <c r="E47" s="84"/>
      <c r="F47" s="84"/>
      <c r="G47" s="84"/>
      <c r="H47" s="84"/>
      <c r="I47" s="59"/>
      <c r="J47" s="59"/>
      <c r="K47" s="59"/>
      <c r="L47" s="59"/>
      <c r="M47" s="59"/>
      <c r="N47" s="59"/>
      <c r="O47" s="59"/>
    </row>
    <row r="48" spans="1:15" x14ac:dyDescent="0.2">
      <c r="A48" s="59"/>
      <c r="B48" s="59"/>
      <c r="C48" s="59"/>
      <c r="D48" s="84"/>
      <c r="E48" s="84"/>
      <c r="F48" s="84"/>
      <c r="G48" s="84"/>
      <c r="H48" s="84"/>
      <c r="I48" s="59"/>
      <c r="J48" s="59"/>
      <c r="K48" s="59"/>
      <c r="L48" s="59"/>
      <c r="M48" s="59"/>
      <c r="N48" s="59"/>
      <c r="O48" s="59"/>
    </row>
    <row r="49" spans="1:16" x14ac:dyDescent="0.2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</row>
    <row r="50" spans="1:16" x14ac:dyDescent="0.2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</row>
    <row r="51" spans="1:16" x14ac:dyDescent="0.2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</row>
    <row r="55" spans="1:16" x14ac:dyDescent="0.2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</row>
    <row r="56" spans="1:16" x14ac:dyDescent="0.2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</row>
    <row r="57" spans="1:16" x14ac:dyDescent="0.2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</row>
    <row r="59" spans="1:16" x14ac:dyDescent="0.2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</row>
    <row r="60" spans="1:16" x14ac:dyDescent="0.2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</row>
    <row r="61" spans="1:16" x14ac:dyDescent="0.2">
      <c r="H61"/>
      <c r="I61"/>
      <c r="J61"/>
      <c r="K61"/>
      <c r="L61"/>
      <c r="M61"/>
      <c r="N61"/>
    </row>
    <row r="62" spans="1:16" x14ac:dyDescent="0.2">
      <c r="H62"/>
      <c r="I62"/>
      <c r="J62"/>
      <c r="K62"/>
      <c r="L62"/>
      <c r="M62"/>
      <c r="N62"/>
    </row>
    <row r="63" spans="1:16" x14ac:dyDescent="0.2">
      <c r="H63" t="str">
        <f ca="1">IFERROR(INDEX(CADTracker[Batch ID],MATCH(0,COUNTIF($H$21:H44,CADTracker[[#This Row],[Batch ID]])+(CADTracker[[#This Row],[Batch ID]]=""),0)),"")</f>
        <v/>
      </c>
      <c r="I63" t="str">
        <f>IF(H45="","",INDEX(CADTracker[Project / Collection],MATCH(H45,CADTracker[Batch ID],0)))</f>
        <v/>
      </c>
      <c r="J63" t="str">
        <f>IF(H45="","",COUNTIFS(CADTracker[Batch ID],H45,CADTracker[Task],"&lt;&gt;"))</f>
        <v/>
      </c>
      <c r="K63" t="str">
        <f>IF(H45="","",SUMIFS(CADTracker[Qty],CADTracker[Batch ID],H45,CADTracker[Task],"&lt;&gt;")+COUNTIFS(CADTracker[Batch ID],H45,CADTracker[Task],"&lt;&gt;",CADTracker[Qty],""))</f>
        <v/>
      </c>
      <c r="L63" t="str">
        <f>IF(H45="","",SUMIFS(CADTracker[Qty],CADTracker[Batch ID],H45,CADTracker[Task],"&lt;&gt;",CADTracker[Status],"Done")+COUNTIFS(CADTracker[Batch ID],H45,CADTracker[Task],"&lt;&gt;",CADTracker[Status],"Done",CADTracker[Qty],""))</f>
        <v/>
      </c>
      <c r="M63" t="str">
        <f>IF(H45="","",SUMIFS(CADTracker[Qty],CADTracker[Batch ID],H45,CADTracker[Task],"&lt;&gt;",CADTracker[Status],"Blocked")+COUNTIFS(CADTracker[Batch ID],H45,CADTracker[Task],"&lt;&gt;",CADTracker[Status],"Blocked",CADTracker[Qty],""))</f>
        <v/>
      </c>
      <c r="N63" s="1" t="str">
        <f>IFERROR((SUMIFS(CADTracker[Qty],CADTracker[Batch ID],H45,CADTracker[Task],"&lt;&gt;",CADTracker[Status],"Done")+COUNTIFS(CADTracker[Batch ID],H45,CADTracker[Task],"&lt;&gt;",CADTracker[Status],"Done",CADTracker[Qty],""))/(SUMIFS(CADTracker[Qty],CADTracker[Batch ID],H45,CADTracker[Task],"&lt;&gt;")+COUNTIFS(CADTracker[Batch ID],H45,CADTracker[Task],"&lt;&gt;",CADTracker[Qty],"")),"")</f>
        <v/>
      </c>
      <c r="O63" s="4" t="str">
        <f>IF(H45="","",_xludf.MAXIFS(CADTracker[Plan End],CADTracker[Batch ID],H45,CADTracker[Task],"&lt;&gt;"))</f>
        <v/>
      </c>
      <c r="P63" t="str">
        <f>IF(H45="","",IF((SUMIFS(CADTracker[Qty],CADTracker[Batch ID],H45,CADTracker[Task],"&lt;&gt;",CADTracker[Status],"Done")+COUNTIFS(CADTracker[Batch ID],H45,CADTracker[Task],"&lt;&gt;",CADTracker[Status],"Done",CADTracker[Qty],""))=(SUMIFS(CADTracker[Qty],CADTracker[Batch ID],H45,CADTracker[Task],"&lt;&gt;")+COUNTIFS(CADTracker[Batch ID],H45,CADTracker[Task],"&lt;&gt;",CADTracker[Qty],"")),"Done",IF((SUMIFS(CADTracker[Qty],CADTracker[Batch ID],H45,CADTracker[Task],"&lt;&gt;",CADTracker[Status],"Blocked")+COUNTIFS(CADTracker[Batch ID],H45,CADTracker[Task],"&lt;&gt;",CADTracker[Status],"Blocked",CADTracker[Qty],""))&gt;0,"Blocked",IF(COUNTIFS(CADTracker[Batch ID],H45,CADTracker[Status],"In Progress")+COUNTIFS(CADTracker[Batch ID],H45,CADTracker[Status],"Checking")&gt;0,"In Progress",IF(COUNTIFS(CADTracker[Batch ID],H45,CADTracker[Status],"Waiting")=COUNTIFS(CADTracker[Batch ID],H45,CADTracker[Task],"&lt;&gt;"),"Waiting","Mixed")))))</f>
        <v/>
      </c>
    </row>
    <row r="64" spans="1:16" x14ac:dyDescent="0.2">
      <c r="H64" t="str">
        <f ca="1">IFERROR(INDEX(CADTracker[Batch ID],MATCH(0,COUNTIF($H$21:H45,CADTracker[[#This Row],[Batch ID]])+(CADTracker[[#This Row],[Batch ID]]=""),0)),"")</f>
        <v/>
      </c>
      <c r="I64" t="str">
        <f>IF(H46="","",INDEX(CADTracker[Project / Collection],MATCH(H46,CADTracker[Batch ID],0)))</f>
        <v/>
      </c>
      <c r="J64" t="str">
        <f>IF(H46="","",COUNTIFS(CADTracker[Batch ID],H46,CADTracker[Task],"&lt;&gt;"))</f>
        <v/>
      </c>
      <c r="K64" t="str">
        <f>IF(H46="","",SUMIFS(CADTracker[Qty],CADTracker[Batch ID],H46,CADTracker[Task],"&lt;&gt;")+COUNTIFS(CADTracker[Batch ID],H46,CADTracker[Task],"&lt;&gt;",CADTracker[Qty],""))</f>
        <v/>
      </c>
      <c r="L64" t="str">
        <f>IF(H46="","",SUMIFS(CADTracker[Qty],CADTracker[Batch ID],H46,CADTracker[Task],"&lt;&gt;",CADTracker[Status],"Done")+COUNTIFS(CADTracker[Batch ID],H46,CADTracker[Task],"&lt;&gt;",CADTracker[Status],"Done",CADTracker[Qty],""))</f>
        <v/>
      </c>
      <c r="M64" t="str">
        <f>IF(H46="","",SUMIFS(CADTracker[Qty],CADTracker[Batch ID],H46,CADTracker[Task],"&lt;&gt;",CADTracker[Status],"Blocked")+COUNTIFS(CADTracker[Batch ID],H46,CADTracker[Task],"&lt;&gt;",CADTracker[Status],"Blocked",CADTracker[Qty],""))</f>
        <v/>
      </c>
      <c r="N64" s="1" t="str">
        <f>IFERROR((SUMIFS(CADTracker[Qty],CADTracker[Batch ID],H46,CADTracker[Task],"&lt;&gt;",CADTracker[Status],"Done")+COUNTIFS(CADTracker[Batch ID],H46,CADTracker[Task],"&lt;&gt;",CADTracker[Status],"Done",CADTracker[Qty],""))/(SUMIFS(CADTracker[Qty],CADTracker[Batch ID],H46,CADTracker[Task],"&lt;&gt;")+COUNTIFS(CADTracker[Batch ID],H46,CADTracker[Task],"&lt;&gt;",CADTracker[Qty],"")),"")</f>
        <v/>
      </c>
      <c r="O64" s="4" t="str">
        <f>IF(H46="","",_xludf.MAXIFS(CADTracker[Plan End],CADTracker[Batch ID],H46,CADTracker[Task],"&lt;&gt;"))</f>
        <v/>
      </c>
      <c r="P64" t="str">
        <f>IF(H46="","",IF((SUMIFS(CADTracker[Qty],CADTracker[Batch ID],H46,CADTracker[Task],"&lt;&gt;",CADTracker[Status],"Done")+COUNTIFS(CADTracker[Batch ID],H46,CADTracker[Task],"&lt;&gt;",CADTracker[Status],"Done",CADTracker[Qty],""))=(SUMIFS(CADTracker[Qty],CADTracker[Batch ID],H46,CADTracker[Task],"&lt;&gt;")+COUNTIFS(CADTracker[Batch ID],H46,CADTracker[Task],"&lt;&gt;",CADTracker[Qty],"")),"Done",IF((SUMIFS(CADTracker[Qty],CADTracker[Batch ID],H46,CADTracker[Task],"&lt;&gt;",CADTracker[Status],"Blocked")+COUNTIFS(CADTracker[Batch ID],H46,CADTracker[Task],"&lt;&gt;",CADTracker[Status],"Blocked",CADTracker[Qty],""))&gt;0,"Blocked",IF(COUNTIFS(CADTracker[Batch ID],H46,CADTracker[Status],"In Progress")+COUNTIFS(CADTracker[Batch ID],H46,CADTracker[Status],"Checking")&gt;0,"In Progress",IF(COUNTIFS(CADTracker[Batch ID],H46,CADTracker[Status],"Waiting")=COUNTIFS(CADTracker[Batch ID],H46,CADTracker[Task],"&lt;&gt;"),"Waiting","Mixed")))))</f>
        <v/>
      </c>
    </row>
    <row r="65" spans="8:16" x14ac:dyDescent="0.2">
      <c r="H65" t="str">
        <f ca="1">IFERROR(INDEX(CADTracker[Batch ID],MATCH(0,COUNTIF($H$21:H46,CADTracker[[#This Row],[Batch ID]])+(CADTracker[[#This Row],[Batch ID]]=""),0)),"")</f>
        <v/>
      </c>
      <c r="I65" t="str">
        <f>IF(H47="","",INDEX(CADTracker[Project / Collection],MATCH(H47,CADTracker[Batch ID],0)))</f>
        <v/>
      </c>
      <c r="J65" t="str">
        <f>IF(H47="","",COUNTIFS(CADTracker[Batch ID],H47,CADTracker[Task],"&lt;&gt;"))</f>
        <v/>
      </c>
      <c r="K65" t="str">
        <f>IF(H47="","",SUMIFS(CADTracker[Qty],CADTracker[Batch ID],H47,CADTracker[Task],"&lt;&gt;")+COUNTIFS(CADTracker[Batch ID],H47,CADTracker[Task],"&lt;&gt;",CADTracker[Qty],""))</f>
        <v/>
      </c>
      <c r="L65" t="str">
        <f>IF(H47="","",SUMIFS(CADTracker[Qty],CADTracker[Batch ID],H47,CADTracker[Task],"&lt;&gt;",CADTracker[Status],"Done")+COUNTIFS(CADTracker[Batch ID],H47,CADTracker[Task],"&lt;&gt;",CADTracker[Status],"Done",CADTracker[Qty],""))</f>
        <v/>
      </c>
      <c r="M65" t="str">
        <f>IF(H47="","",SUMIFS(CADTracker[Qty],CADTracker[Batch ID],H47,CADTracker[Task],"&lt;&gt;",CADTracker[Status],"Blocked")+COUNTIFS(CADTracker[Batch ID],H47,CADTracker[Task],"&lt;&gt;",CADTracker[Status],"Blocked",CADTracker[Qty],""))</f>
        <v/>
      </c>
      <c r="N65" s="1" t="str">
        <f>IFERROR((SUMIFS(CADTracker[Qty],CADTracker[Batch ID],H47,CADTracker[Task],"&lt;&gt;",CADTracker[Status],"Done")+COUNTIFS(CADTracker[Batch ID],H47,CADTracker[Task],"&lt;&gt;",CADTracker[Status],"Done",CADTracker[Qty],""))/(SUMIFS(CADTracker[Qty],CADTracker[Batch ID],H47,CADTracker[Task],"&lt;&gt;")+COUNTIFS(CADTracker[Batch ID],H47,CADTracker[Task],"&lt;&gt;",CADTracker[Qty],"")),"")</f>
        <v/>
      </c>
      <c r="O65" s="4" t="str">
        <f>IF(H47="","",_xludf.MAXIFS(CADTracker[Plan End],CADTracker[Batch ID],H47,CADTracker[Task],"&lt;&gt;"))</f>
        <v/>
      </c>
      <c r="P65" t="str">
        <f>IF(H47="","",IF((SUMIFS(CADTracker[Qty],CADTracker[Batch ID],H47,CADTracker[Task],"&lt;&gt;",CADTracker[Status],"Done")+COUNTIFS(CADTracker[Batch ID],H47,CADTracker[Task],"&lt;&gt;",CADTracker[Status],"Done",CADTracker[Qty],""))=(SUMIFS(CADTracker[Qty],CADTracker[Batch ID],H47,CADTracker[Task],"&lt;&gt;")+COUNTIFS(CADTracker[Batch ID],H47,CADTracker[Task],"&lt;&gt;",CADTracker[Qty],"")),"Done",IF((SUMIFS(CADTracker[Qty],CADTracker[Batch ID],H47,CADTracker[Task],"&lt;&gt;",CADTracker[Status],"Blocked")+COUNTIFS(CADTracker[Batch ID],H47,CADTracker[Task],"&lt;&gt;",CADTracker[Status],"Blocked",CADTracker[Qty],""))&gt;0,"Blocked",IF(COUNTIFS(CADTracker[Batch ID],H47,CADTracker[Status],"In Progress")+COUNTIFS(CADTracker[Batch ID],H47,CADTracker[Status],"Checking")&gt;0,"In Progress",IF(COUNTIFS(CADTracker[Batch ID],H47,CADTracker[Status],"Waiting")=COUNTIFS(CADTracker[Batch ID],H47,CADTracker[Task],"&lt;&gt;"),"Waiting","Mixed")))))</f>
        <v/>
      </c>
    </row>
    <row r="66" spans="8:16" x14ac:dyDescent="0.2">
      <c r="H66" t="str">
        <f ca="1">IFERROR(INDEX(CADTracker[Batch ID],MATCH(0,COUNTIF($H$21:H47,CADTracker[[#This Row],[Batch ID]])+(CADTracker[[#This Row],[Batch ID]]=""),0)),"")</f>
        <v/>
      </c>
      <c r="I66" t="str">
        <f>IF(H48="","",INDEX(CADTracker[Project / Collection],MATCH(H48,CADTracker[Batch ID],0)))</f>
        <v/>
      </c>
      <c r="J66" t="str">
        <f>IF(H48="","",COUNTIFS(CADTracker[Batch ID],H48,CADTracker[Task],"&lt;&gt;"))</f>
        <v/>
      </c>
      <c r="K66" t="str">
        <f>IF(H48="","",SUMIFS(CADTracker[Qty],CADTracker[Batch ID],H48,CADTracker[Task],"&lt;&gt;")+COUNTIFS(CADTracker[Batch ID],H48,CADTracker[Task],"&lt;&gt;",CADTracker[Qty],""))</f>
        <v/>
      </c>
      <c r="L66" t="str">
        <f>IF(H48="","",SUMIFS(CADTracker[Qty],CADTracker[Batch ID],H48,CADTracker[Task],"&lt;&gt;",CADTracker[Status],"Done")+COUNTIFS(CADTracker[Batch ID],H48,CADTracker[Task],"&lt;&gt;",CADTracker[Status],"Done",CADTracker[Qty],""))</f>
        <v/>
      </c>
      <c r="M66" t="str">
        <f>IF(H48="","",SUMIFS(CADTracker[Qty],CADTracker[Batch ID],H48,CADTracker[Task],"&lt;&gt;",CADTracker[Status],"Blocked")+COUNTIFS(CADTracker[Batch ID],H48,CADTracker[Task],"&lt;&gt;",CADTracker[Status],"Blocked",CADTracker[Qty],""))</f>
        <v/>
      </c>
      <c r="N66" s="1" t="str">
        <f>IFERROR((SUMIFS(CADTracker[Qty],CADTracker[Batch ID],H48,CADTracker[Task],"&lt;&gt;",CADTracker[Status],"Done")+COUNTIFS(CADTracker[Batch ID],H48,CADTracker[Task],"&lt;&gt;",CADTracker[Status],"Done",CADTracker[Qty],""))/(SUMIFS(CADTracker[Qty],CADTracker[Batch ID],H48,CADTracker[Task],"&lt;&gt;")+COUNTIFS(CADTracker[Batch ID],H48,CADTracker[Task],"&lt;&gt;",CADTracker[Qty],"")),"")</f>
        <v/>
      </c>
      <c r="O66" s="4" t="str">
        <f>IF(H48="","",_xludf.MAXIFS(CADTracker[Plan End],CADTracker[Batch ID],H48,CADTracker[Task],"&lt;&gt;"))</f>
        <v/>
      </c>
      <c r="P66" t="str">
        <f>IF(H48="","",IF((SUMIFS(CADTracker[Qty],CADTracker[Batch ID],H48,CADTracker[Task],"&lt;&gt;",CADTracker[Status],"Done")+COUNTIFS(CADTracker[Batch ID],H48,CADTracker[Task],"&lt;&gt;",CADTracker[Status],"Done",CADTracker[Qty],""))=(SUMIFS(CADTracker[Qty],CADTracker[Batch ID],H48,CADTracker[Task],"&lt;&gt;")+COUNTIFS(CADTracker[Batch ID],H48,CADTracker[Task],"&lt;&gt;",CADTracker[Qty],"")),"Done",IF((SUMIFS(CADTracker[Qty],CADTracker[Batch ID],H48,CADTracker[Task],"&lt;&gt;",CADTracker[Status],"Blocked")+COUNTIFS(CADTracker[Batch ID],H48,CADTracker[Task],"&lt;&gt;",CADTracker[Status],"Blocked",CADTracker[Qty],""))&gt;0,"Blocked",IF(COUNTIFS(CADTracker[Batch ID],H48,CADTracker[Status],"In Progress")+COUNTIFS(CADTracker[Batch ID],H48,CADTracker[Status],"Checking")&gt;0,"In Progress",IF(COUNTIFS(CADTracker[Batch ID],H48,CADTracker[Status],"Waiting")=COUNTIFS(CADTracker[Batch ID],H48,CADTracker[Task],"&lt;&gt;"),"Waiting","Mixed")))))</f>
        <v/>
      </c>
    </row>
    <row r="67" spans="8:16" x14ac:dyDescent="0.2">
      <c r="H67" t="str">
        <f ca="1">IFERROR(INDEX(CADTracker[Batch ID],MATCH(0,COUNTIF($H$21:H48,CADTracker[[#This Row],[Batch ID]])+(CADTracker[[#This Row],[Batch ID]]=""),0)),"")</f>
        <v/>
      </c>
      <c r="I67" t="str">
        <f>IF(H49="","",INDEX(CADTracker[Project / Collection],MATCH(H49,CADTracker[Batch ID],0)))</f>
        <v/>
      </c>
      <c r="J67" t="str">
        <f>IF(H49="","",COUNTIFS(CADTracker[Batch ID],H49,CADTracker[Task],"&lt;&gt;"))</f>
        <v/>
      </c>
      <c r="K67" t="str">
        <f>IF(H49="","",SUMIFS(CADTracker[Qty],CADTracker[Batch ID],H49,CADTracker[Task],"&lt;&gt;")+COUNTIFS(CADTracker[Batch ID],H49,CADTracker[Task],"&lt;&gt;",CADTracker[Qty],""))</f>
        <v/>
      </c>
      <c r="L67" t="str">
        <f>IF(H49="","",SUMIFS(CADTracker[Qty],CADTracker[Batch ID],H49,CADTracker[Task],"&lt;&gt;",CADTracker[Status],"Done")+COUNTIFS(CADTracker[Batch ID],H49,CADTracker[Task],"&lt;&gt;",CADTracker[Status],"Done",CADTracker[Qty],""))</f>
        <v/>
      </c>
      <c r="M67" t="str">
        <f>IF(H49="","",SUMIFS(CADTracker[Qty],CADTracker[Batch ID],H49,CADTracker[Task],"&lt;&gt;",CADTracker[Status],"Blocked")+COUNTIFS(CADTracker[Batch ID],H49,CADTracker[Task],"&lt;&gt;",CADTracker[Status],"Blocked",CADTracker[Qty],""))</f>
        <v/>
      </c>
      <c r="N67" s="1" t="str">
        <f>IFERROR((SUMIFS(CADTracker[Qty],CADTracker[Batch ID],H49,CADTracker[Task],"&lt;&gt;",CADTracker[Status],"Done")+COUNTIFS(CADTracker[Batch ID],H49,CADTracker[Task],"&lt;&gt;",CADTracker[Status],"Done",CADTracker[Qty],""))/(SUMIFS(CADTracker[Qty],CADTracker[Batch ID],H49,CADTracker[Task],"&lt;&gt;")+COUNTIFS(CADTracker[Batch ID],H49,CADTracker[Task],"&lt;&gt;",CADTracker[Qty],"")),"")</f>
        <v/>
      </c>
      <c r="O67" s="4" t="str">
        <f>IF(H49="","",_xludf.MAXIFS(CADTracker[Plan End],CADTracker[Batch ID],H49,CADTracker[Task],"&lt;&gt;"))</f>
        <v/>
      </c>
      <c r="P67" t="str">
        <f>IF(H49="","",IF((SUMIFS(CADTracker[Qty],CADTracker[Batch ID],H49,CADTracker[Task],"&lt;&gt;",CADTracker[Status],"Done")+COUNTIFS(CADTracker[Batch ID],H49,CADTracker[Task],"&lt;&gt;",CADTracker[Status],"Done",CADTracker[Qty],""))=(SUMIFS(CADTracker[Qty],CADTracker[Batch ID],H49,CADTracker[Task],"&lt;&gt;")+COUNTIFS(CADTracker[Batch ID],H49,CADTracker[Task],"&lt;&gt;",CADTracker[Qty],"")),"Done",IF((SUMIFS(CADTracker[Qty],CADTracker[Batch ID],H49,CADTracker[Task],"&lt;&gt;",CADTracker[Status],"Blocked")+COUNTIFS(CADTracker[Batch ID],H49,CADTracker[Task],"&lt;&gt;",CADTracker[Status],"Blocked",CADTracker[Qty],""))&gt;0,"Blocked",IF(COUNTIFS(CADTracker[Batch ID],H49,CADTracker[Status],"In Progress")+COUNTIFS(CADTracker[Batch ID],H49,CADTracker[Status],"Checking")&gt;0,"In Progress",IF(COUNTIFS(CADTracker[Batch ID],H49,CADTracker[Status],"Waiting")=COUNTIFS(CADTracker[Batch ID],H49,CADTracker[Task],"&lt;&gt;"),"Waiting","Mixed")))))</f>
        <v/>
      </c>
    </row>
    <row r="68" spans="8:16" x14ac:dyDescent="0.2">
      <c r="H68" t="str">
        <f ca="1">IFERROR(INDEX(CADTracker[Batch ID],MATCH(0,COUNTIF($H$21:H49,CADTracker[[#This Row],[Batch ID]])+(CADTracker[[#This Row],[Batch ID]]=""),0)),"")</f>
        <v/>
      </c>
      <c r="I68" t="str">
        <f>IF(H50="","",INDEX(CADTracker[Project / Collection],MATCH(H50,CADTracker[Batch ID],0)))</f>
        <v/>
      </c>
      <c r="J68" t="str">
        <f>IF(H50="","",COUNTIFS(CADTracker[Batch ID],H50,CADTracker[Task],"&lt;&gt;"))</f>
        <v/>
      </c>
      <c r="K68" t="str">
        <f>IF(H50="","",SUMIFS(CADTracker[Qty],CADTracker[Batch ID],H50,CADTracker[Task],"&lt;&gt;")+COUNTIFS(CADTracker[Batch ID],H50,CADTracker[Task],"&lt;&gt;",CADTracker[Qty],""))</f>
        <v/>
      </c>
      <c r="L68" t="str">
        <f>IF(H50="","",SUMIFS(CADTracker[Qty],CADTracker[Batch ID],H50,CADTracker[Task],"&lt;&gt;",CADTracker[Status],"Done")+COUNTIFS(CADTracker[Batch ID],H50,CADTracker[Task],"&lt;&gt;",CADTracker[Status],"Done",CADTracker[Qty],""))</f>
        <v/>
      </c>
      <c r="M68" t="str">
        <f>IF(H50="","",SUMIFS(CADTracker[Qty],CADTracker[Batch ID],H50,CADTracker[Task],"&lt;&gt;",CADTracker[Status],"Blocked")+COUNTIFS(CADTracker[Batch ID],H50,CADTracker[Task],"&lt;&gt;",CADTracker[Status],"Blocked",CADTracker[Qty],""))</f>
        <v/>
      </c>
      <c r="N68" s="1" t="str">
        <f>IFERROR((SUMIFS(CADTracker[Qty],CADTracker[Batch ID],H50,CADTracker[Task],"&lt;&gt;",CADTracker[Status],"Done")+COUNTIFS(CADTracker[Batch ID],H50,CADTracker[Task],"&lt;&gt;",CADTracker[Status],"Done",CADTracker[Qty],""))/(SUMIFS(CADTracker[Qty],CADTracker[Batch ID],H50,CADTracker[Task],"&lt;&gt;")+COUNTIFS(CADTracker[Batch ID],H50,CADTracker[Task],"&lt;&gt;",CADTracker[Qty],"")),"")</f>
        <v/>
      </c>
      <c r="O68" s="4" t="str">
        <f>IF(H50="","",_xludf.MAXIFS(CADTracker[Plan End],CADTracker[Batch ID],H50,CADTracker[Task],"&lt;&gt;"))</f>
        <v/>
      </c>
      <c r="P68" t="str">
        <f>IF(H50="","",IF((SUMIFS(CADTracker[Qty],CADTracker[Batch ID],H50,CADTracker[Task],"&lt;&gt;",CADTracker[Status],"Done")+COUNTIFS(CADTracker[Batch ID],H50,CADTracker[Task],"&lt;&gt;",CADTracker[Status],"Done",CADTracker[Qty],""))=(SUMIFS(CADTracker[Qty],CADTracker[Batch ID],H50,CADTracker[Task],"&lt;&gt;")+COUNTIFS(CADTracker[Batch ID],H50,CADTracker[Task],"&lt;&gt;",CADTracker[Qty],"")),"Done",IF((SUMIFS(CADTracker[Qty],CADTracker[Batch ID],H50,CADTracker[Task],"&lt;&gt;",CADTracker[Status],"Blocked")+COUNTIFS(CADTracker[Batch ID],H50,CADTracker[Task],"&lt;&gt;",CADTracker[Status],"Blocked",CADTracker[Qty],""))&gt;0,"Blocked",IF(COUNTIFS(CADTracker[Batch ID],H50,CADTracker[Status],"In Progress")+COUNTIFS(CADTracker[Batch ID],H50,CADTracker[Status],"Checking")&gt;0,"In Progress",IF(COUNTIFS(CADTracker[Batch ID],H50,CADTracker[Status],"Waiting")=COUNTIFS(CADTracker[Batch ID],H50,CADTracker[Task],"&lt;&gt;"),"Waiting","Mixed")))))</f>
        <v/>
      </c>
    </row>
    <row r="69" spans="8:16" x14ac:dyDescent="0.2">
      <c r="H69" t="str">
        <f ca="1">IFERROR(INDEX(CADTracker[Batch ID],MATCH(0,COUNTIF($H$21:H50,CADTracker[[#This Row],[Batch ID]])+(CADTracker[[#This Row],[Batch ID]]=""),0)),"")</f>
        <v/>
      </c>
      <c r="I69" t="str">
        <f>IF(H51="","",INDEX(CADTracker[Project / Collection],MATCH(H51,CADTracker[Batch ID],0)))</f>
        <v/>
      </c>
      <c r="J69" t="str">
        <f>IF(H51="","",COUNTIFS(CADTracker[Batch ID],H51,CADTracker[Task],"&lt;&gt;"))</f>
        <v/>
      </c>
      <c r="K69" t="str">
        <f>IF(H51="","",SUMIFS(CADTracker[Qty],CADTracker[Batch ID],H51,CADTracker[Task],"&lt;&gt;")+COUNTIFS(CADTracker[Batch ID],H51,CADTracker[Task],"&lt;&gt;",CADTracker[Qty],""))</f>
        <v/>
      </c>
      <c r="L69" t="str">
        <f>IF(H51="","",SUMIFS(CADTracker[Qty],CADTracker[Batch ID],H51,CADTracker[Task],"&lt;&gt;",CADTracker[Status],"Done")+COUNTIFS(CADTracker[Batch ID],H51,CADTracker[Task],"&lt;&gt;",CADTracker[Status],"Done",CADTracker[Qty],""))</f>
        <v/>
      </c>
      <c r="M69" t="str">
        <f>IF(H51="","",SUMIFS(CADTracker[Qty],CADTracker[Batch ID],H51,CADTracker[Task],"&lt;&gt;",CADTracker[Status],"Blocked")+COUNTIFS(CADTracker[Batch ID],H51,CADTracker[Task],"&lt;&gt;",CADTracker[Status],"Blocked",CADTracker[Qty],""))</f>
        <v/>
      </c>
      <c r="N69" s="1" t="str">
        <f>IFERROR((SUMIFS(CADTracker[Qty],CADTracker[Batch ID],H51,CADTracker[Task],"&lt;&gt;",CADTracker[Status],"Done")+COUNTIFS(CADTracker[Batch ID],H51,CADTracker[Task],"&lt;&gt;",CADTracker[Status],"Done",CADTracker[Qty],""))/(SUMIFS(CADTracker[Qty],CADTracker[Batch ID],H51,CADTracker[Task],"&lt;&gt;")+COUNTIFS(CADTracker[Batch ID],H51,CADTracker[Task],"&lt;&gt;",CADTracker[Qty],"")),"")</f>
        <v/>
      </c>
      <c r="O69" s="4" t="str">
        <f>IF(H51="","",_xludf.MAXIFS(CADTracker[Plan End],CADTracker[Batch ID],H51,CADTracker[Task],"&lt;&gt;"))</f>
        <v/>
      </c>
      <c r="P69" t="str">
        <f>IF(H51="","",IF((SUMIFS(CADTracker[Qty],CADTracker[Batch ID],H51,CADTracker[Task],"&lt;&gt;",CADTracker[Status],"Done")+COUNTIFS(CADTracker[Batch ID],H51,CADTracker[Task],"&lt;&gt;",CADTracker[Status],"Done",CADTracker[Qty],""))=(SUMIFS(CADTracker[Qty],CADTracker[Batch ID],H51,CADTracker[Task],"&lt;&gt;")+COUNTIFS(CADTracker[Batch ID],H51,CADTracker[Task],"&lt;&gt;",CADTracker[Qty],"")),"Done",IF((SUMIFS(CADTracker[Qty],CADTracker[Batch ID],H51,CADTracker[Task],"&lt;&gt;",CADTracker[Status],"Blocked")+COUNTIFS(CADTracker[Batch ID],H51,CADTracker[Task],"&lt;&gt;",CADTracker[Status],"Blocked",CADTracker[Qty],""))&gt;0,"Blocked",IF(COUNTIFS(CADTracker[Batch ID],H51,CADTracker[Status],"In Progress")+COUNTIFS(CADTracker[Batch ID],H51,CADTracker[Status],"Checking")&gt;0,"In Progress",IF(COUNTIFS(CADTracker[Batch ID],H51,CADTracker[Status],"Waiting")=COUNTIFS(CADTracker[Batch ID],H51,CADTracker[Task],"&lt;&gt;"),"Waiting","Mixed")))))</f>
        <v/>
      </c>
    </row>
  </sheetData>
  <mergeCells count="23">
    <mergeCell ref="L34:N34"/>
    <mergeCell ref="L37:N37"/>
    <mergeCell ref="A1:O1"/>
    <mergeCell ref="I6:J6"/>
    <mergeCell ref="K6:L6"/>
    <mergeCell ref="C7:D7"/>
    <mergeCell ref="E7:F7"/>
    <mergeCell ref="G7:H7"/>
    <mergeCell ref="I7:J7"/>
    <mergeCell ref="K7:L7"/>
    <mergeCell ref="G3:H3"/>
    <mergeCell ref="I3:J3"/>
    <mergeCell ref="C4:D4"/>
    <mergeCell ref="E4:F4"/>
    <mergeCell ref="G4:H4"/>
    <mergeCell ref="I4:J4"/>
    <mergeCell ref="K4:L4"/>
    <mergeCell ref="C6:D6"/>
    <mergeCell ref="E6:F6"/>
    <mergeCell ref="G6:H6"/>
    <mergeCell ref="K3:L3"/>
    <mergeCell ref="C3:D3"/>
    <mergeCell ref="E3:F3"/>
  </mergeCells>
  <pageMargins left="0.75" right="0.75" top="1" bottom="1" header="0.5" footer="0.5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B80A6-AEA4-4031-ACF6-383D2138F7EA}">
  <sheetPr codeName="Sheet7"/>
  <dimension ref="A1:O5"/>
  <sheetViews>
    <sheetView topLeftCell="A2" workbookViewId="0">
      <selection activeCell="K17" sqref="K17"/>
    </sheetView>
  </sheetViews>
  <sheetFormatPr defaultRowHeight="14.25" x14ac:dyDescent="0.2"/>
  <cols>
    <col min="1" max="1" width="11.625" customWidth="1"/>
    <col min="2" max="2" width="13.625" customWidth="1"/>
    <col min="3" max="3" width="12.625" customWidth="1"/>
    <col min="4" max="6" width="13.625" customWidth="1"/>
    <col min="7" max="7" width="11.625" customWidth="1"/>
    <col min="8" max="8" width="17.625" customWidth="1"/>
    <col min="9" max="9" width="8.625" customWidth="1"/>
    <col min="10" max="11" width="12.625" customWidth="1"/>
    <col min="12" max="12" width="11.625" customWidth="1"/>
    <col min="13" max="14" width="12.625" style="32" customWidth="1"/>
    <col min="15" max="15" width="11.625" customWidth="1"/>
  </cols>
  <sheetData>
    <row r="1" spans="1:15" ht="33.950000000000003" customHeight="1" x14ac:dyDescent="0.2">
      <c r="A1" s="28" t="s">
        <v>51</v>
      </c>
      <c r="B1" s="28" t="s">
        <v>12</v>
      </c>
      <c r="C1" s="28" t="s">
        <v>40</v>
      </c>
      <c r="D1" s="28" t="s">
        <v>13</v>
      </c>
      <c r="E1" s="28" t="s">
        <v>24</v>
      </c>
      <c r="F1" s="28" t="s">
        <v>25</v>
      </c>
      <c r="G1" s="28" t="s">
        <v>50</v>
      </c>
      <c r="H1" s="28" t="s">
        <v>14</v>
      </c>
      <c r="I1" s="28" t="s">
        <v>15</v>
      </c>
      <c r="J1" s="28" t="s">
        <v>16</v>
      </c>
      <c r="K1" s="28" t="s">
        <v>17</v>
      </c>
      <c r="L1" s="28" t="s">
        <v>11</v>
      </c>
      <c r="M1" s="30" t="s">
        <v>52</v>
      </c>
      <c r="N1" s="30" t="s">
        <v>18</v>
      </c>
      <c r="O1" s="28" t="s">
        <v>84</v>
      </c>
    </row>
    <row r="2" spans="1:15" ht="36" customHeight="1" x14ac:dyDescent="0.2">
      <c r="A2" s="29" t="s">
        <v>54</v>
      </c>
      <c r="B2" s="29" t="s">
        <v>61</v>
      </c>
      <c r="C2" s="29" t="s">
        <v>60</v>
      </c>
      <c r="D2" s="29" t="s">
        <v>62</v>
      </c>
      <c r="E2" s="29" t="s">
        <v>30</v>
      </c>
      <c r="F2" s="29" t="s">
        <v>27</v>
      </c>
      <c r="G2" s="29">
        <v>333333</v>
      </c>
      <c r="H2" s="29" t="s">
        <v>63</v>
      </c>
      <c r="I2" s="29">
        <v>1</v>
      </c>
      <c r="J2" s="29" t="s">
        <v>8</v>
      </c>
      <c r="K2" s="29" t="s">
        <v>42</v>
      </c>
      <c r="L2" s="29" t="s">
        <v>64</v>
      </c>
      <c r="M2" s="31">
        <v>46202</v>
      </c>
      <c r="N2" s="31">
        <v>46204</v>
      </c>
      <c r="O2" s="29" t="s">
        <v>86</v>
      </c>
    </row>
    <row r="3" spans="1:15" ht="36" customHeight="1" x14ac:dyDescent="0.2">
      <c r="A3" s="29" t="s">
        <v>54</v>
      </c>
      <c r="B3" s="29" t="s">
        <v>55</v>
      </c>
      <c r="C3" s="29" t="s">
        <v>53</v>
      </c>
      <c r="D3" s="29" t="s">
        <v>56</v>
      </c>
      <c r="E3" s="29" t="s">
        <v>26</v>
      </c>
      <c r="F3" s="29" t="s">
        <v>27</v>
      </c>
      <c r="G3" s="29">
        <v>111111</v>
      </c>
      <c r="H3" s="29" t="s">
        <v>57</v>
      </c>
      <c r="I3" s="29">
        <v>30</v>
      </c>
      <c r="J3" s="29" t="s">
        <v>8</v>
      </c>
      <c r="K3" s="29" t="s">
        <v>41</v>
      </c>
      <c r="L3" s="29" t="s">
        <v>58</v>
      </c>
      <c r="M3" s="31">
        <v>46202</v>
      </c>
      <c r="N3" s="31">
        <v>46208</v>
      </c>
      <c r="O3" s="29" t="s">
        <v>86</v>
      </c>
    </row>
    <row r="4" spans="1:15" ht="36" customHeight="1" x14ac:dyDescent="0.2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31"/>
      <c r="N4" s="31"/>
      <c r="O4" s="29"/>
    </row>
    <row r="5" spans="1:15" ht="36" customHeight="1" x14ac:dyDescent="0.2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31"/>
      <c r="N5" s="31"/>
      <c r="O5" s="29"/>
    </row>
  </sheetData>
  <conditionalFormatting sqref="J2:J50">
    <cfRule type="cellIs" dxfId="75" priority="1" stopIfTrue="1" operator="equal">
      <formula>"Done"</formula>
    </cfRule>
    <cfRule type="cellIs" dxfId="74" priority="2" stopIfTrue="1" operator="equal">
      <formula>"In Progress"</formula>
    </cfRule>
    <cfRule type="cellIs" dxfId="73" priority="3" stopIfTrue="1" operator="equal">
      <formula>"Checking"</formula>
    </cfRule>
    <cfRule type="cellIs" dxfId="72" priority="4" stopIfTrue="1" operator="equal">
      <formula>"Blocked"</formula>
    </cfRule>
    <cfRule type="cellIs" dxfId="71" priority="5" stopIfTrue="1" operator="equal">
      <formula>"Waiting"</formula>
    </cfRule>
    <cfRule type="cellIs" dxfId="70" priority="6" stopIfTrue="1" operator="equal">
      <formula>"Cancelled"</formula>
    </cfRule>
  </conditionalFormatting>
  <conditionalFormatting sqref="K2:K50">
    <cfRule type="cellIs" dxfId="69" priority="7" stopIfTrue="1" operator="equal">
      <formula>"CAD1"</formula>
    </cfRule>
    <cfRule type="cellIs" dxfId="68" priority="8" stopIfTrue="1" operator="equal">
      <formula>"CAD2"</formula>
    </cfRule>
    <cfRule type="cellIs" dxfId="67" priority="9" stopIfTrue="1" operator="equal">
      <formula>"CAD3"</formula>
    </cfRule>
    <cfRule type="cellIs" dxfId="66" priority="10" stopIfTrue="1" operator="equal">
      <formula>"CAD4"</formula>
    </cfRule>
    <cfRule type="cellIs" dxfId="65" priority="11" stopIfTrue="1" operator="equal">
      <formula>"CAD5"</formula>
    </cfRule>
    <cfRule type="cellIs" dxfId="64" priority="12" stopIfTrue="1" operator="equal">
      <formula>"CAD6"</formula>
    </cfRule>
    <cfRule type="cellIs" dxfId="63" priority="13" stopIfTrue="1" operator="equal">
      <formula>"Sdesign"</formula>
    </cfRule>
    <cfRule type="cellIs" dxfId="62" priority="14" stopIfTrue="1" operator="equal">
      <formula>"Design 2"</formula>
    </cfRule>
    <cfRule type="cellIs" dxfId="61" priority="15" stopIfTrue="1" operator="equal">
      <formula>"Outsource CAD"</formula>
    </cfRule>
  </conditionalFormatting>
  <conditionalFormatting sqref="L2:L50">
    <cfRule type="cellIs" dxfId="60" priority="16" stopIfTrue="1" operator="equal">
      <formula>"Urgent"</formula>
    </cfRule>
    <cfRule type="cellIs" dxfId="59" priority="17" stopIfTrue="1" operator="equal">
      <formula>"High"</formula>
    </cfRule>
    <cfRule type="cellIs" dxfId="58" priority="18" stopIfTrue="1" operator="equal">
      <formula>"Normal"</formula>
    </cfRule>
    <cfRule type="cellIs" dxfId="57" priority="19" stopIfTrue="1" operator="equal">
      <formula>"Low"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D71F-1168-4AE4-AFDB-9551155893DC}">
  <sheetPr codeName="Sheet1"/>
  <dimension ref="A1:S202"/>
  <sheetViews>
    <sheetView workbookViewId="0">
      <selection activeCell="Y21" sqref="Y21"/>
    </sheetView>
  </sheetViews>
  <sheetFormatPr defaultRowHeight="14.25" x14ac:dyDescent="0.2"/>
  <cols>
    <col min="1" max="1" width="8.25" bestFit="1" customWidth="1"/>
    <col min="2" max="2" width="15.875" bestFit="1" customWidth="1"/>
    <col min="4" max="4" width="8.875" bestFit="1" customWidth="1"/>
    <col min="5" max="5" width="10.125" bestFit="1" customWidth="1"/>
    <col min="6" max="6" width="8.375" bestFit="1" customWidth="1"/>
    <col min="7" max="7" width="8.25" bestFit="1" customWidth="1"/>
    <col min="8" max="8" width="7.125" bestFit="1" customWidth="1"/>
    <col min="9" max="9" width="3.5" bestFit="1" customWidth="1"/>
    <col min="10" max="10" width="8.5" bestFit="1" customWidth="1"/>
    <col min="11" max="11" width="6.875" bestFit="1" customWidth="1"/>
    <col min="12" max="12" width="6.125" bestFit="1" customWidth="1"/>
    <col min="13" max="14" width="8.875" bestFit="1" customWidth="1"/>
    <col min="15" max="15" width="6.75" bestFit="1" customWidth="1"/>
    <col min="17" max="17" width="26.625" customWidth="1"/>
    <col min="18" max="19" width="13.625" style="50" customWidth="1"/>
  </cols>
  <sheetData>
    <row r="1" spans="1:19" ht="18" x14ac:dyDescent="0.25">
      <c r="A1" s="46" t="s">
        <v>89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9" x14ac:dyDescent="0.2">
      <c r="A2" t="s">
        <v>90</v>
      </c>
      <c r="B2" s="39">
        <v>244532.40902777779</v>
      </c>
    </row>
    <row r="4" spans="1:19" ht="27" x14ac:dyDescent="0.2">
      <c r="A4" s="47" t="s">
        <v>51</v>
      </c>
      <c r="B4" s="47" t="s">
        <v>12</v>
      </c>
      <c r="C4" s="47" t="s">
        <v>40</v>
      </c>
      <c r="D4" s="47" t="s">
        <v>13</v>
      </c>
      <c r="E4" s="47" t="s">
        <v>24</v>
      </c>
      <c r="F4" s="47" t="s">
        <v>25</v>
      </c>
      <c r="G4" s="47" t="s">
        <v>50</v>
      </c>
      <c r="H4" s="47" t="s">
        <v>14</v>
      </c>
      <c r="I4" s="47" t="s">
        <v>15</v>
      </c>
      <c r="J4" s="47" t="s">
        <v>16</v>
      </c>
      <c r="K4" s="47" t="s">
        <v>17</v>
      </c>
      <c r="L4" s="47" t="s">
        <v>11</v>
      </c>
      <c r="M4" s="47" t="s">
        <v>52</v>
      </c>
      <c r="N4" s="47" t="s">
        <v>18</v>
      </c>
      <c r="O4" s="48" t="s">
        <v>84</v>
      </c>
      <c r="Q4" s="49" t="s">
        <v>91</v>
      </c>
      <c r="R4" s="49"/>
      <c r="S4" s="49"/>
    </row>
    <row r="5" spans="1:19" ht="40.5" x14ac:dyDescent="0.2">
      <c r="A5" s="40" t="s">
        <v>54</v>
      </c>
      <c r="B5" s="40" t="s">
        <v>61</v>
      </c>
      <c r="C5" s="40" t="s">
        <v>60</v>
      </c>
      <c r="D5" s="40" t="s">
        <v>65</v>
      </c>
      <c r="E5" s="40" t="s">
        <v>30</v>
      </c>
      <c r="F5" s="40" t="s">
        <v>27</v>
      </c>
      <c r="G5" s="40">
        <v>333333</v>
      </c>
      <c r="H5" s="41" t="s">
        <v>63</v>
      </c>
      <c r="I5" s="42">
        <v>120</v>
      </c>
      <c r="J5" s="14" t="s">
        <v>8</v>
      </c>
      <c r="K5" s="15" t="s">
        <v>43</v>
      </c>
      <c r="L5" s="16" t="s">
        <v>64</v>
      </c>
      <c r="M5" s="43" t="s">
        <v>59</v>
      </c>
      <c r="N5" s="43" t="s">
        <v>66</v>
      </c>
      <c r="O5" s="44" t="s">
        <v>85</v>
      </c>
      <c r="Q5" s="53" t="s">
        <v>92</v>
      </c>
      <c r="R5" s="51" t="s">
        <v>22</v>
      </c>
      <c r="S5" s="51" t="s">
        <v>23</v>
      </c>
    </row>
    <row r="6" spans="1:19" ht="40.5" x14ac:dyDescent="0.2">
      <c r="A6" s="11" t="s">
        <v>54</v>
      </c>
      <c r="B6" s="11" t="s">
        <v>61</v>
      </c>
      <c r="C6" s="11" t="s">
        <v>60</v>
      </c>
      <c r="D6" s="11" t="s">
        <v>67</v>
      </c>
      <c r="E6" s="11" t="s">
        <v>30</v>
      </c>
      <c r="F6" s="11" t="s">
        <v>27</v>
      </c>
      <c r="G6" s="11">
        <v>333333</v>
      </c>
      <c r="H6" s="12" t="s">
        <v>63</v>
      </c>
      <c r="I6" s="13">
        <v>1</v>
      </c>
      <c r="J6" s="19" t="s">
        <v>4</v>
      </c>
      <c r="K6" s="14" t="s">
        <v>48</v>
      </c>
      <c r="L6" s="20" t="s">
        <v>64</v>
      </c>
      <c r="M6" s="17" t="s">
        <v>59</v>
      </c>
      <c r="N6" s="17" t="s">
        <v>66</v>
      </c>
      <c r="O6" s="45" t="s">
        <v>85</v>
      </c>
      <c r="Q6" s="55" t="s">
        <v>93</v>
      </c>
      <c r="R6" s="52" cm="1">
        <f t="array" ref="R6">SUMPRODUCT(($H$5:$H$1000&lt;&gt;"")*(TRIM($J$5:$J$1000)="Done"))</f>
        <v>1</v>
      </c>
      <c r="S6" s="52" cm="1">
        <f t="array" ref="S6">SUMPRODUCT(($H$5:$H$1000&lt;&gt;"")*(TRIM($J$5:$J$1000)="Done")*IF($I$5:$I$1000="",1,IFERROR(--$I$5:$I$1000,1)))</f>
        <v>120</v>
      </c>
    </row>
    <row r="7" spans="1:19" ht="40.5" x14ac:dyDescent="0.2">
      <c r="A7" s="40" t="s">
        <v>54</v>
      </c>
      <c r="B7" s="40" t="s">
        <v>68</v>
      </c>
      <c r="C7" s="40" t="s">
        <v>60</v>
      </c>
      <c r="D7" s="40" t="s">
        <v>69</v>
      </c>
      <c r="E7" s="40" t="s">
        <v>34</v>
      </c>
      <c r="F7" s="40" t="s">
        <v>37</v>
      </c>
      <c r="G7" s="40">
        <v>444444</v>
      </c>
      <c r="H7" s="41" t="s">
        <v>70</v>
      </c>
      <c r="I7" s="42">
        <v>1</v>
      </c>
      <c r="J7" s="14" t="s">
        <v>5</v>
      </c>
      <c r="K7" s="19" t="s">
        <v>49</v>
      </c>
      <c r="L7" s="20" t="s">
        <v>71</v>
      </c>
      <c r="M7" s="43" t="s">
        <v>72</v>
      </c>
      <c r="N7" s="43" t="s">
        <v>73</v>
      </c>
      <c r="O7" s="44" t="s">
        <v>85</v>
      </c>
      <c r="Q7" s="58" t="s">
        <v>36</v>
      </c>
      <c r="R7" s="52" cm="1">
        <f t="array" ref="R7">SUMPRODUCT(($H$5:$H$1000&lt;&gt;"")*(TRIM($J$5:$J$1000)="Cancelled"))</f>
        <v>1</v>
      </c>
      <c r="S7" s="52" cm="1">
        <f t="array" ref="S7">SUMPRODUCT(($H$5:$H$1000&lt;&gt;"")*(TRIM($J$5:$J$1000)="Cancelled")*IF($I$5:$I$1000="",1,IFERROR(--$I$5:$I$1000,1)))</f>
        <v>25</v>
      </c>
    </row>
    <row r="8" spans="1:19" ht="27" x14ac:dyDescent="0.2">
      <c r="A8" s="11" t="s">
        <v>54</v>
      </c>
      <c r="B8" s="11" t="s">
        <v>68</v>
      </c>
      <c r="C8" s="11" t="s">
        <v>60</v>
      </c>
      <c r="D8" s="11" t="s">
        <v>69</v>
      </c>
      <c r="E8" s="11" t="s">
        <v>34</v>
      </c>
      <c r="F8" s="11" t="s">
        <v>37</v>
      </c>
      <c r="G8" s="11">
        <v>555555</v>
      </c>
      <c r="H8" s="12" t="s">
        <v>57</v>
      </c>
      <c r="I8" s="13">
        <v>1</v>
      </c>
      <c r="J8" s="21" t="s">
        <v>6</v>
      </c>
      <c r="K8" s="22" t="s">
        <v>49</v>
      </c>
      <c r="L8" s="20" t="s">
        <v>71</v>
      </c>
      <c r="M8" s="17" t="s">
        <v>72</v>
      </c>
      <c r="N8" s="17" t="s">
        <v>73</v>
      </c>
      <c r="O8" s="45" t="s">
        <v>85</v>
      </c>
      <c r="Q8" s="54" t="s">
        <v>7</v>
      </c>
      <c r="R8" s="52" cm="1">
        <f t="array" ref="R8">SUMPRODUCT(($H$5:$H$1000&lt;&gt;"")*(TRIM($J$5:$J$1000)="Blocked"))</f>
        <v>1</v>
      </c>
      <c r="S8" s="52" cm="1">
        <f t="array" ref="S8">SUMPRODUCT(($H$5:$H$1000&lt;&gt;"")*(TRIM($J$5:$J$1000)="Blocked")*IF($I$5:$I$1000="",1,IFERROR(--$I$5:$I$1000,1)))</f>
        <v>1</v>
      </c>
    </row>
    <row r="9" spans="1:19" ht="27" x14ac:dyDescent="0.2">
      <c r="A9" s="40" t="s">
        <v>54</v>
      </c>
      <c r="B9" s="40" t="s">
        <v>68</v>
      </c>
      <c r="C9" s="40" t="s">
        <v>60</v>
      </c>
      <c r="D9" s="40" t="s">
        <v>69</v>
      </c>
      <c r="E9" s="40" t="s">
        <v>34</v>
      </c>
      <c r="F9" s="40" t="s">
        <v>37</v>
      </c>
      <c r="G9" s="40">
        <v>666666</v>
      </c>
      <c r="H9" s="41" t="s">
        <v>57</v>
      </c>
      <c r="I9" s="42">
        <v>1</v>
      </c>
      <c r="J9" s="23" t="s">
        <v>7</v>
      </c>
      <c r="K9" s="24" t="s">
        <v>49</v>
      </c>
      <c r="L9" s="25" t="s">
        <v>71</v>
      </c>
      <c r="M9" s="43" t="s">
        <v>72</v>
      </c>
      <c r="N9" s="43" t="s">
        <v>73</v>
      </c>
      <c r="O9" s="44" t="s">
        <v>85</v>
      </c>
      <c r="Q9" s="57" t="s">
        <v>94</v>
      </c>
      <c r="R9" s="52" cm="1">
        <f t="array" ref="R9">SUMPRODUCT(($H$5:$H$1000&lt;&gt;"")*($N$5:$N$1000&lt;&gt;"")*($N$5:$N$1000&lt;IFERROR(--$B$2,DATEVALUE(LEFT($B$2,10))+TIMEVALUE(MID($B$2,12,5))))*(TRIM($J$5:$J$1000)&lt;&gt;"Done")*(TRIM($J$5:$J$1000)&lt;&gt;"Cancelled")*(TRIM($J$5:$J$1000)&lt;&gt;"Blocked"))</f>
        <v>0</v>
      </c>
      <c r="S9" s="52" cm="1">
        <f t="array" ref="S9">SUMPRODUCT(($H$5:$H$1000&lt;&gt;"")*($N$5:$N$1000&lt;&gt;"")*($N$5:$N$1000&lt;IFERROR(--$B$2,DATEVALUE(LEFT($B$2,10))+TIMEVALUE(MID($B$2,12,5))))*(TRIM($J$5:$J$1000)&lt;&gt;"Done")*(TRIM($J$5:$J$1000)&lt;&gt;"Cancelled")*(TRIM($J$5:$J$1000)&lt;&gt;"Blocked")*IF($I$5:$I$1000="",1,IFERROR(--$I$5:$I$1000,1)))</f>
        <v>0</v>
      </c>
    </row>
    <row r="10" spans="1:19" ht="27" x14ac:dyDescent="0.2">
      <c r="A10" s="11" t="s">
        <v>54</v>
      </c>
      <c r="B10" s="11" t="s">
        <v>61</v>
      </c>
      <c r="C10" s="11" t="s">
        <v>53</v>
      </c>
      <c r="D10" s="11"/>
      <c r="E10" s="11" t="s">
        <v>28</v>
      </c>
      <c r="F10" s="11" t="s">
        <v>35</v>
      </c>
      <c r="G10" s="11">
        <v>333333</v>
      </c>
      <c r="H10" s="12" t="s">
        <v>57</v>
      </c>
      <c r="I10" s="13">
        <v>25</v>
      </c>
      <c r="J10" s="14" t="s">
        <v>36</v>
      </c>
      <c r="K10" s="24" t="s">
        <v>43</v>
      </c>
      <c r="L10" s="25" t="s">
        <v>64</v>
      </c>
      <c r="M10" s="17" t="s">
        <v>72</v>
      </c>
      <c r="N10" s="17" t="s">
        <v>73</v>
      </c>
      <c r="O10" s="45" t="s">
        <v>85</v>
      </c>
      <c r="Q10" s="56" t="s">
        <v>95</v>
      </c>
      <c r="R10" s="52" cm="1">
        <f t="array" ref="R10">SUMPRODUCT(($H$5:$H$1000&lt;&gt;"")*((TRIM($J$5:$J$1000)="Waiting")+(TRIM($J$5:$J$1000)="In Progress")+(TRIM($J$5:$J$1000)="Checking"))*((($N$5:$N$1000="")+($N$5:$N$1000&gt;=IFERROR(--$B$2,DATEVALUE(LEFT($B$2,10))+TIMEVALUE(MID($B$2,12,5)))))&gt;0))</f>
        <v>3</v>
      </c>
      <c r="S10" s="52" cm="1">
        <f t="array" ref="S10">SUMPRODUCT(($H$5:$H$1000&lt;&gt;"")*((TRIM($J$5:$J$1000)="Waiting")+(TRIM($J$5:$J$1000)="In Progress")+(TRIM($J$5:$J$1000)="Checking"))*((($N$5:$N$1000="")+($N$5:$N$1000&gt;=IFERROR(--$B$2,DATEVALUE(LEFT($B$2,10))+TIMEVALUE(MID($B$2,12,5)))))&gt;0)*IF($I$5:$I$1000="",1,IFERROR(--$I$5:$I$1000,1)))</f>
        <v>3</v>
      </c>
    </row>
    <row r="11" spans="1:19" x14ac:dyDescent="0.2">
      <c r="A11" s="40"/>
      <c r="B11" s="40"/>
      <c r="C11" s="40"/>
      <c r="D11" s="40"/>
      <c r="E11" s="40"/>
      <c r="F11" s="40"/>
      <c r="G11" s="40"/>
      <c r="H11" s="41"/>
      <c r="I11" s="42"/>
      <c r="J11" s="23"/>
      <c r="K11" s="24"/>
      <c r="L11" s="25"/>
      <c r="M11" s="43"/>
      <c r="N11" s="43"/>
      <c r="O11" s="44" t="s">
        <v>85</v>
      </c>
    </row>
    <row r="12" spans="1:19" x14ac:dyDescent="0.2">
      <c r="A12" s="11"/>
      <c r="B12" s="11"/>
      <c r="C12" s="11"/>
      <c r="D12" s="11"/>
      <c r="E12" s="11"/>
      <c r="F12" s="11"/>
      <c r="G12" s="11"/>
      <c r="H12" s="12"/>
      <c r="I12" s="13"/>
      <c r="J12" s="11"/>
      <c r="K12" s="11"/>
      <c r="L12" s="11"/>
      <c r="M12" s="17"/>
      <c r="N12" s="17"/>
      <c r="O12" s="45" t="s">
        <v>85</v>
      </c>
    </row>
    <row r="13" spans="1:19" x14ac:dyDescent="0.2">
      <c r="A13" s="40"/>
      <c r="B13" s="40"/>
      <c r="C13" s="40"/>
      <c r="D13" s="40"/>
      <c r="E13" s="40"/>
      <c r="F13" s="40"/>
      <c r="G13" s="40"/>
      <c r="H13" s="41"/>
      <c r="I13" s="42"/>
      <c r="J13" s="40"/>
      <c r="K13" s="40"/>
      <c r="L13" s="40"/>
      <c r="M13" s="43"/>
      <c r="N13" s="43"/>
      <c r="O13" s="44" t="s">
        <v>85</v>
      </c>
    </row>
    <row r="14" spans="1:19" x14ac:dyDescent="0.2">
      <c r="A14" s="11"/>
      <c r="B14" s="11"/>
      <c r="C14" s="11"/>
      <c r="D14" s="11"/>
      <c r="E14" s="11"/>
      <c r="F14" s="11"/>
      <c r="G14" s="11"/>
      <c r="H14" s="12"/>
      <c r="I14" s="13"/>
      <c r="J14" s="11"/>
      <c r="K14" s="11"/>
      <c r="L14" s="11"/>
      <c r="M14" s="17"/>
      <c r="N14" s="17"/>
      <c r="O14" s="45" t="s">
        <v>85</v>
      </c>
    </row>
    <row r="15" spans="1:19" x14ac:dyDescent="0.2">
      <c r="A15" s="40"/>
      <c r="B15" s="40"/>
      <c r="C15" s="40"/>
      <c r="D15" s="40"/>
      <c r="E15" s="40"/>
      <c r="F15" s="40"/>
      <c r="G15" s="40"/>
      <c r="H15" s="41"/>
      <c r="I15" s="42"/>
      <c r="J15" s="40"/>
      <c r="K15" s="40"/>
      <c r="L15" s="40"/>
      <c r="M15" s="43"/>
      <c r="N15" s="43"/>
      <c r="O15" s="44" t="s">
        <v>85</v>
      </c>
    </row>
    <row r="16" spans="1:19" x14ac:dyDescent="0.2">
      <c r="A16" s="11"/>
      <c r="B16" s="11"/>
      <c r="C16" s="11"/>
      <c r="D16" s="11"/>
      <c r="E16" s="11"/>
      <c r="F16" s="11"/>
      <c r="G16" s="11"/>
      <c r="H16" s="12"/>
      <c r="I16" s="13"/>
      <c r="J16" s="11"/>
      <c r="K16" s="11"/>
      <c r="L16" s="11"/>
      <c r="M16" s="17"/>
      <c r="N16" s="17"/>
      <c r="O16" s="45" t="s">
        <v>85</v>
      </c>
    </row>
    <row r="17" spans="1:15" x14ac:dyDescent="0.2">
      <c r="A17" s="40"/>
      <c r="B17" s="40"/>
      <c r="C17" s="40"/>
      <c r="D17" s="40"/>
      <c r="E17" s="40"/>
      <c r="F17" s="40"/>
      <c r="G17" s="40"/>
      <c r="H17" s="41"/>
      <c r="I17" s="42"/>
      <c r="J17" s="40"/>
      <c r="K17" s="40"/>
      <c r="L17" s="40"/>
      <c r="M17" s="43"/>
      <c r="N17" s="43"/>
      <c r="O17" s="44" t="s">
        <v>85</v>
      </c>
    </row>
    <row r="18" spans="1:15" x14ac:dyDescent="0.2">
      <c r="A18" s="11"/>
      <c r="B18" s="11"/>
      <c r="C18" s="11"/>
      <c r="D18" s="11"/>
      <c r="E18" s="11"/>
      <c r="F18" s="11"/>
      <c r="G18" s="11"/>
      <c r="H18" s="12"/>
      <c r="I18" s="13"/>
      <c r="J18" s="11"/>
      <c r="K18" s="11"/>
      <c r="L18" s="11"/>
      <c r="M18" s="17"/>
      <c r="N18" s="17"/>
      <c r="O18" s="45" t="s">
        <v>85</v>
      </c>
    </row>
    <row r="19" spans="1:15" x14ac:dyDescent="0.2">
      <c r="A19" s="40"/>
      <c r="B19" s="40"/>
      <c r="C19" s="40"/>
      <c r="D19" s="40"/>
      <c r="E19" s="40"/>
      <c r="F19" s="40"/>
      <c r="G19" s="40"/>
      <c r="H19" s="41"/>
      <c r="I19" s="42"/>
      <c r="J19" s="40"/>
      <c r="K19" s="40"/>
      <c r="L19" s="40"/>
      <c r="M19" s="43"/>
      <c r="N19" s="43"/>
      <c r="O19" s="44" t="s">
        <v>85</v>
      </c>
    </row>
    <row r="20" spans="1:15" x14ac:dyDescent="0.2">
      <c r="A20" s="11"/>
      <c r="B20" s="11"/>
      <c r="C20" s="11"/>
      <c r="D20" s="11"/>
      <c r="E20" s="11"/>
      <c r="F20" s="11"/>
      <c r="G20" s="11"/>
      <c r="H20" s="12"/>
      <c r="I20" s="13"/>
      <c r="J20" s="11"/>
      <c r="K20" s="11"/>
      <c r="L20" s="11"/>
      <c r="M20" s="17"/>
      <c r="N20" s="17"/>
      <c r="O20" s="45" t="s">
        <v>85</v>
      </c>
    </row>
    <row r="21" spans="1:15" x14ac:dyDescent="0.2">
      <c r="A21" s="40"/>
      <c r="B21" s="40"/>
      <c r="C21" s="40"/>
      <c r="D21" s="40"/>
      <c r="E21" s="40"/>
      <c r="F21" s="40"/>
      <c r="G21" s="40"/>
      <c r="H21" s="41"/>
      <c r="I21" s="42"/>
      <c r="J21" s="40"/>
      <c r="K21" s="40"/>
      <c r="L21" s="40"/>
      <c r="M21" s="43"/>
      <c r="N21" s="43"/>
      <c r="O21" s="44" t="s">
        <v>85</v>
      </c>
    </row>
    <row r="22" spans="1:15" x14ac:dyDescent="0.2">
      <c r="A22" s="11"/>
      <c r="B22" s="11"/>
      <c r="C22" s="11"/>
      <c r="D22" s="11"/>
      <c r="E22" s="11"/>
      <c r="F22" s="11"/>
      <c r="G22" s="11"/>
      <c r="H22" s="12"/>
      <c r="I22" s="13"/>
      <c r="J22" s="11"/>
      <c r="K22" s="11"/>
      <c r="L22" s="11"/>
      <c r="M22" s="17"/>
      <c r="N22" s="17"/>
      <c r="O22" s="45" t="s">
        <v>85</v>
      </c>
    </row>
    <row r="23" spans="1:15" x14ac:dyDescent="0.2">
      <c r="A23" s="40"/>
      <c r="B23" s="40"/>
      <c r="C23" s="40"/>
      <c r="D23" s="40"/>
      <c r="E23" s="40"/>
      <c r="F23" s="40"/>
      <c r="G23" s="40"/>
      <c r="H23" s="41"/>
      <c r="I23" s="42"/>
      <c r="J23" s="40"/>
      <c r="K23" s="40"/>
      <c r="L23" s="40"/>
      <c r="M23" s="43"/>
      <c r="N23" s="43"/>
      <c r="O23" s="44" t="s">
        <v>85</v>
      </c>
    </row>
    <row r="24" spans="1:15" x14ac:dyDescent="0.2">
      <c r="A24" s="11"/>
      <c r="B24" s="11"/>
      <c r="C24" s="11"/>
      <c r="D24" s="11"/>
      <c r="E24" s="11"/>
      <c r="F24" s="11"/>
      <c r="G24" s="11"/>
      <c r="H24" s="12"/>
      <c r="I24" s="13"/>
      <c r="J24" s="11"/>
      <c r="K24" s="11"/>
      <c r="L24" s="11"/>
      <c r="M24" s="17"/>
      <c r="N24" s="17"/>
      <c r="O24" s="45" t="s">
        <v>85</v>
      </c>
    </row>
    <row r="25" spans="1:15" x14ac:dyDescent="0.2">
      <c r="A25" s="40"/>
      <c r="B25" s="40"/>
      <c r="C25" s="40"/>
      <c r="D25" s="40"/>
      <c r="E25" s="40"/>
      <c r="F25" s="40"/>
      <c r="G25" s="40"/>
      <c r="H25" s="41"/>
      <c r="I25" s="42"/>
      <c r="J25" s="40"/>
      <c r="K25" s="40"/>
      <c r="L25" s="40"/>
      <c r="M25" s="43"/>
      <c r="N25" s="43"/>
      <c r="O25" s="44" t="s">
        <v>85</v>
      </c>
    </row>
    <row r="26" spans="1:15" x14ac:dyDescent="0.2">
      <c r="A26" s="11"/>
      <c r="B26" s="11"/>
      <c r="C26" s="11"/>
      <c r="D26" s="11"/>
      <c r="E26" s="11"/>
      <c r="F26" s="11"/>
      <c r="G26" s="11"/>
      <c r="H26" s="12"/>
      <c r="I26" s="13"/>
      <c r="J26" s="11"/>
      <c r="K26" s="11"/>
      <c r="L26" s="11"/>
      <c r="M26" s="17"/>
      <c r="N26" s="17"/>
      <c r="O26" s="45" t="s">
        <v>85</v>
      </c>
    </row>
    <row r="27" spans="1:15" x14ac:dyDescent="0.2">
      <c r="A27" s="40"/>
      <c r="B27" s="40"/>
      <c r="C27" s="40"/>
      <c r="D27" s="40"/>
      <c r="E27" s="40"/>
      <c r="F27" s="40"/>
      <c r="G27" s="40"/>
      <c r="H27" s="41"/>
      <c r="I27" s="42"/>
      <c r="J27" s="40"/>
      <c r="K27" s="40"/>
      <c r="L27" s="40"/>
      <c r="M27" s="43"/>
      <c r="N27" s="43"/>
      <c r="O27" s="44" t="s">
        <v>85</v>
      </c>
    </row>
    <row r="28" spans="1:15" x14ac:dyDescent="0.2">
      <c r="A28" s="11"/>
      <c r="B28" s="11"/>
      <c r="C28" s="11"/>
      <c r="D28" s="11"/>
      <c r="E28" s="11"/>
      <c r="F28" s="11"/>
      <c r="G28" s="11"/>
      <c r="H28" s="12"/>
      <c r="I28" s="13"/>
      <c r="J28" s="11"/>
      <c r="K28" s="11"/>
      <c r="L28" s="11"/>
      <c r="M28" s="17"/>
      <c r="N28" s="17"/>
      <c r="O28" s="45" t="s">
        <v>85</v>
      </c>
    </row>
    <row r="29" spans="1:15" x14ac:dyDescent="0.2">
      <c r="A29" s="40"/>
      <c r="B29" s="40"/>
      <c r="C29" s="40"/>
      <c r="D29" s="40"/>
      <c r="E29" s="40"/>
      <c r="F29" s="40"/>
      <c r="G29" s="40"/>
      <c r="H29" s="41"/>
      <c r="I29" s="42"/>
      <c r="J29" s="40"/>
      <c r="K29" s="40"/>
      <c r="L29" s="40"/>
      <c r="M29" s="43"/>
      <c r="N29" s="43"/>
      <c r="O29" s="44" t="s">
        <v>85</v>
      </c>
    </row>
    <row r="30" spans="1:15" x14ac:dyDescent="0.2">
      <c r="A30" s="11"/>
      <c r="B30" s="11"/>
      <c r="C30" s="11"/>
      <c r="D30" s="11"/>
      <c r="E30" s="11"/>
      <c r="F30" s="11"/>
      <c r="G30" s="11"/>
      <c r="H30" s="12"/>
      <c r="I30" s="13"/>
      <c r="J30" s="11"/>
      <c r="K30" s="11"/>
      <c r="L30" s="11"/>
      <c r="M30" s="17"/>
      <c r="N30" s="17"/>
      <c r="O30" s="45" t="s">
        <v>85</v>
      </c>
    </row>
    <row r="31" spans="1:15" x14ac:dyDescent="0.2">
      <c r="A31" s="40"/>
      <c r="B31" s="40"/>
      <c r="C31" s="40"/>
      <c r="D31" s="40"/>
      <c r="E31" s="40"/>
      <c r="F31" s="40"/>
      <c r="G31" s="40"/>
      <c r="H31" s="41"/>
      <c r="I31" s="42"/>
      <c r="J31" s="40"/>
      <c r="K31" s="40"/>
      <c r="L31" s="40"/>
      <c r="M31" s="43"/>
      <c r="N31" s="43"/>
      <c r="O31" s="44" t="s">
        <v>85</v>
      </c>
    </row>
    <row r="32" spans="1:15" x14ac:dyDescent="0.2">
      <c r="A32" s="11"/>
      <c r="B32" s="11"/>
      <c r="C32" s="11"/>
      <c r="D32" s="11"/>
      <c r="E32" s="11"/>
      <c r="F32" s="11"/>
      <c r="G32" s="11"/>
      <c r="H32" s="12"/>
      <c r="I32" s="13"/>
      <c r="J32" s="11"/>
      <c r="K32" s="11"/>
      <c r="L32" s="11"/>
      <c r="M32" s="17"/>
      <c r="N32" s="17"/>
      <c r="O32" s="45" t="s">
        <v>85</v>
      </c>
    </row>
    <row r="33" spans="1:15" x14ac:dyDescent="0.2">
      <c r="A33" s="40"/>
      <c r="B33" s="40"/>
      <c r="C33" s="40"/>
      <c r="D33" s="40"/>
      <c r="E33" s="40"/>
      <c r="F33" s="40"/>
      <c r="G33" s="40"/>
      <c r="H33" s="41"/>
      <c r="I33" s="42"/>
      <c r="J33" s="40"/>
      <c r="K33" s="40"/>
      <c r="L33" s="40"/>
      <c r="M33" s="43"/>
      <c r="N33" s="43"/>
      <c r="O33" s="44" t="s">
        <v>85</v>
      </c>
    </row>
    <row r="34" spans="1:15" x14ac:dyDescent="0.2">
      <c r="A34" s="11"/>
      <c r="B34" s="11"/>
      <c r="C34" s="11"/>
      <c r="D34" s="11"/>
      <c r="E34" s="11"/>
      <c r="F34" s="11"/>
      <c r="G34" s="11"/>
      <c r="H34" s="12"/>
      <c r="I34" s="13"/>
      <c r="J34" s="11"/>
      <c r="K34" s="11"/>
      <c r="L34" s="11"/>
      <c r="M34" s="17"/>
      <c r="N34" s="17"/>
      <c r="O34" s="45" t="s">
        <v>85</v>
      </c>
    </row>
    <row r="35" spans="1:15" x14ac:dyDescent="0.2">
      <c r="A35" s="40"/>
      <c r="B35" s="40"/>
      <c r="C35" s="40"/>
      <c r="D35" s="40"/>
      <c r="E35" s="40"/>
      <c r="F35" s="40"/>
      <c r="G35" s="40"/>
      <c r="H35" s="41"/>
      <c r="I35" s="42"/>
      <c r="J35" s="40"/>
      <c r="K35" s="40"/>
      <c r="L35" s="40"/>
      <c r="M35" s="43"/>
      <c r="N35" s="43"/>
      <c r="O35" s="44" t="s">
        <v>85</v>
      </c>
    </row>
    <row r="36" spans="1:15" x14ac:dyDescent="0.2">
      <c r="A36" s="11"/>
      <c r="B36" s="11"/>
      <c r="C36" s="11"/>
      <c r="D36" s="11"/>
      <c r="E36" s="11"/>
      <c r="F36" s="11"/>
      <c r="G36" s="11"/>
      <c r="H36" s="12"/>
      <c r="I36" s="13"/>
      <c r="J36" s="11"/>
      <c r="K36" s="11"/>
      <c r="L36" s="11"/>
      <c r="M36" s="17"/>
      <c r="N36" s="17"/>
      <c r="O36" s="45" t="s">
        <v>85</v>
      </c>
    </row>
    <row r="37" spans="1:15" x14ac:dyDescent="0.2">
      <c r="A37" s="40"/>
      <c r="B37" s="40"/>
      <c r="C37" s="40"/>
      <c r="D37" s="40"/>
      <c r="E37" s="40"/>
      <c r="F37" s="40"/>
      <c r="G37" s="40"/>
      <c r="H37" s="41"/>
      <c r="I37" s="42"/>
      <c r="J37" s="40"/>
      <c r="K37" s="40"/>
      <c r="L37" s="40"/>
      <c r="M37" s="43"/>
      <c r="N37" s="43"/>
      <c r="O37" s="44" t="s">
        <v>85</v>
      </c>
    </row>
    <row r="38" spans="1:15" x14ac:dyDescent="0.2">
      <c r="A38" s="11"/>
      <c r="B38" s="11"/>
      <c r="C38" s="11"/>
      <c r="D38" s="11"/>
      <c r="E38" s="11"/>
      <c r="F38" s="11"/>
      <c r="G38" s="11"/>
      <c r="H38" s="12"/>
      <c r="I38" s="13"/>
      <c r="J38" s="11"/>
      <c r="K38" s="11"/>
      <c r="L38" s="11"/>
      <c r="M38" s="17"/>
      <c r="N38" s="17"/>
      <c r="O38" s="45" t="s">
        <v>85</v>
      </c>
    </row>
    <row r="39" spans="1:15" x14ac:dyDescent="0.2">
      <c r="A39" s="40"/>
      <c r="B39" s="40"/>
      <c r="C39" s="40"/>
      <c r="D39" s="40"/>
      <c r="E39" s="40"/>
      <c r="F39" s="40"/>
      <c r="G39" s="40"/>
      <c r="H39" s="41"/>
      <c r="I39" s="42"/>
      <c r="J39" s="40"/>
      <c r="K39" s="40"/>
      <c r="L39" s="40"/>
      <c r="M39" s="43"/>
      <c r="N39" s="43"/>
      <c r="O39" s="44" t="s">
        <v>85</v>
      </c>
    </row>
    <row r="40" spans="1:15" x14ac:dyDescent="0.2">
      <c r="A40" s="11"/>
      <c r="B40" s="11"/>
      <c r="C40" s="11"/>
      <c r="D40" s="11"/>
      <c r="E40" s="11"/>
      <c r="F40" s="11"/>
      <c r="G40" s="11"/>
      <c r="H40" s="12"/>
      <c r="I40" s="13"/>
      <c r="J40" s="11"/>
      <c r="K40" s="11"/>
      <c r="L40" s="11"/>
      <c r="M40" s="17"/>
      <c r="N40" s="17"/>
      <c r="O40" s="45" t="s">
        <v>85</v>
      </c>
    </row>
    <row r="41" spans="1:15" x14ac:dyDescent="0.2">
      <c r="A41" s="40"/>
      <c r="B41" s="40"/>
      <c r="C41" s="40"/>
      <c r="D41" s="40"/>
      <c r="E41" s="40"/>
      <c r="F41" s="40"/>
      <c r="G41" s="40"/>
      <c r="H41" s="41"/>
      <c r="I41" s="42"/>
      <c r="J41" s="40"/>
      <c r="K41" s="40"/>
      <c r="L41" s="40"/>
      <c r="M41" s="43"/>
      <c r="N41" s="43"/>
      <c r="O41" s="44" t="s">
        <v>85</v>
      </c>
    </row>
    <row r="42" spans="1:15" x14ac:dyDescent="0.2">
      <c r="A42" s="11"/>
      <c r="B42" s="11"/>
      <c r="C42" s="11"/>
      <c r="D42" s="11"/>
      <c r="E42" s="11"/>
      <c r="F42" s="11"/>
      <c r="G42" s="11"/>
      <c r="H42" s="12"/>
      <c r="I42" s="13"/>
      <c r="J42" s="11"/>
      <c r="K42" s="11"/>
      <c r="L42" s="11"/>
      <c r="M42" s="17"/>
      <c r="N42" s="17"/>
      <c r="O42" s="45" t="s">
        <v>85</v>
      </c>
    </row>
    <row r="43" spans="1:15" x14ac:dyDescent="0.2">
      <c r="A43" s="40"/>
      <c r="B43" s="40"/>
      <c r="C43" s="40"/>
      <c r="D43" s="40"/>
      <c r="E43" s="40"/>
      <c r="F43" s="40"/>
      <c r="G43" s="40"/>
      <c r="H43" s="41"/>
      <c r="I43" s="42"/>
      <c r="J43" s="40"/>
      <c r="K43" s="40"/>
      <c r="L43" s="40"/>
      <c r="M43" s="43"/>
      <c r="N43" s="43"/>
      <c r="O43" s="44" t="s">
        <v>85</v>
      </c>
    </row>
    <row r="44" spans="1:15" x14ac:dyDescent="0.2">
      <c r="A44" s="11"/>
      <c r="B44" s="11"/>
      <c r="C44" s="11"/>
      <c r="D44" s="11"/>
      <c r="E44" s="11"/>
      <c r="F44" s="11"/>
      <c r="G44" s="11"/>
      <c r="H44" s="12"/>
      <c r="I44" s="13"/>
      <c r="J44" s="11"/>
      <c r="K44" s="11"/>
      <c r="L44" s="11"/>
      <c r="M44" s="17"/>
      <c r="N44" s="17"/>
      <c r="O44" s="45" t="s">
        <v>85</v>
      </c>
    </row>
    <row r="45" spans="1:15" x14ac:dyDescent="0.2">
      <c r="A45" s="40"/>
      <c r="B45" s="40"/>
      <c r="C45" s="40"/>
      <c r="D45" s="40"/>
      <c r="E45" s="40"/>
      <c r="F45" s="40"/>
      <c r="G45" s="40"/>
      <c r="H45" s="41"/>
      <c r="I45" s="42"/>
      <c r="J45" s="40"/>
      <c r="K45" s="40"/>
      <c r="L45" s="40"/>
      <c r="M45" s="43"/>
      <c r="N45" s="43"/>
      <c r="O45" s="44" t="s">
        <v>85</v>
      </c>
    </row>
    <row r="46" spans="1:15" x14ac:dyDescent="0.2">
      <c r="A46" s="11"/>
      <c r="B46" s="11"/>
      <c r="C46" s="11"/>
      <c r="D46" s="11"/>
      <c r="E46" s="11"/>
      <c r="F46" s="11"/>
      <c r="G46" s="11"/>
      <c r="H46" s="12"/>
      <c r="I46" s="13"/>
      <c r="J46" s="11"/>
      <c r="K46" s="11"/>
      <c r="L46" s="11"/>
      <c r="M46" s="17"/>
      <c r="N46" s="17"/>
      <c r="O46" s="45" t="s">
        <v>85</v>
      </c>
    </row>
    <row r="47" spans="1:15" x14ac:dyDescent="0.2">
      <c r="A47" s="40"/>
      <c r="B47" s="40"/>
      <c r="C47" s="40"/>
      <c r="D47" s="40"/>
      <c r="E47" s="40"/>
      <c r="F47" s="40"/>
      <c r="G47" s="40"/>
      <c r="H47" s="41"/>
      <c r="I47" s="42"/>
      <c r="J47" s="40"/>
      <c r="K47" s="40"/>
      <c r="L47" s="40"/>
      <c r="M47" s="43"/>
      <c r="N47" s="43"/>
      <c r="O47" s="44" t="s">
        <v>85</v>
      </c>
    </row>
    <row r="48" spans="1:15" x14ac:dyDescent="0.2">
      <c r="A48" s="11"/>
      <c r="B48" s="11"/>
      <c r="C48" s="11"/>
      <c r="D48" s="11"/>
      <c r="E48" s="11"/>
      <c r="F48" s="11"/>
      <c r="G48" s="11"/>
      <c r="H48" s="12"/>
      <c r="I48" s="13"/>
      <c r="J48" s="11"/>
      <c r="K48" s="11"/>
      <c r="L48" s="11"/>
      <c r="M48" s="17"/>
      <c r="N48" s="17"/>
      <c r="O48" s="45" t="s">
        <v>85</v>
      </c>
    </row>
    <row r="49" spans="1:15" x14ac:dyDescent="0.2">
      <c r="A49" s="40"/>
      <c r="B49" s="40"/>
      <c r="C49" s="40"/>
      <c r="D49" s="40"/>
      <c r="E49" s="40"/>
      <c r="F49" s="40"/>
      <c r="G49" s="40"/>
      <c r="H49" s="41"/>
      <c r="I49" s="42"/>
      <c r="J49" s="40"/>
      <c r="K49" s="40"/>
      <c r="L49" s="40"/>
      <c r="M49" s="43"/>
      <c r="N49" s="43"/>
      <c r="O49" s="44" t="s">
        <v>85</v>
      </c>
    </row>
    <row r="50" spans="1:15" x14ac:dyDescent="0.2">
      <c r="A50" s="11"/>
      <c r="B50" s="11"/>
      <c r="C50" s="11"/>
      <c r="D50" s="11"/>
      <c r="E50" s="11"/>
      <c r="F50" s="11"/>
      <c r="G50" s="11"/>
      <c r="H50" s="12"/>
      <c r="I50" s="13"/>
      <c r="J50" s="11"/>
      <c r="K50" s="11"/>
      <c r="L50" s="11"/>
      <c r="M50" s="17"/>
      <c r="N50" s="17"/>
      <c r="O50" s="45" t="s">
        <v>85</v>
      </c>
    </row>
    <row r="51" spans="1:15" x14ac:dyDescent="0.2">
      <c r="A51" s="40"/>
      <c r="B51" s="40"/>
      <c r="C51" s="40"/>
      <c r="D51" s="40"/>
      <c r="E51" s="40"/>
      <c r="F51" s="40"/>
      <c r="G51" s="40"/>
      <c r="H51" s="41"/>
      <c r="I51" s="42"/>
      <c r="J51" s="40"/>
      <c r="K51" s="40"/>
      <c r="L51" s="40"/>
      <c r="M51" s="43"/>
      <c r="N51" s="43"/>
      <c r="O51" s="44" t="s">
        <v>85</v>
      </c>
    </row>
    <row r="52" spans="1:15" x14ac:dyDescent="0.2">
      <c r="A52" s="11"/>
      <c r="B52" s="11"/>
      <c r="C52" s="11"/>
      <c r="D52" s="11"/>
      <c r="E52" s="11"/>
      <c r="F52" s="11"/>
      <c r="G52" s="11"/>
      <c r="H52" s="12"/>
      <c r="I52" s="13"/>
      <c r="J52" s="11"/>
      <c r="K52" s="11"/>
      <c r="L52" s="11"/>
      <c r="M52" s="17"/>
      <c r="N52" s="17"/>
      <c r="O52" s="45" t="s">
        <v>85</v>
      </c>
    </row>
    <row r="53" spans="1:15" x14ac:dyDescent="0.2">
      <c r="A53" s="40"/>
      <c r="B53" s="40"/>
      <c r="C53" s="40"/>
      <c r="D53" s="40"/>
      <c r="E53" s="40"/>
      <c r="F53" s="40"/>
      <c r="G53" s="40"/>
      <c r="H53" s="41"/>
      <c r="I53" s="42"/>
      <c r="J53" s="40"/>
      <c r="K53" s="40"/>
      <c r="L53" s="40"/>
      <c r="M53" s="43"/>
      <c r="N53" s="43"/>
      <c r="O53" s="44" t="s">
        <v>85</v>
      </c>
    </row>
    <row r="54" spans="1:15" x14ac:dyDescent="0.2">
      <c r="A54" s="11"/>
      <c r="B54" s="11"/>
      <c r="C54" s="11"/>
      <c r="D54" s="11"/>
      <c r="E54" s="11"/>
      <c r="F54" s="11"/>
      <c r="G54" s="11"/>
      <c r="H54" s="12"/>
      <c r="I54" s="13"/>
      <c r="J54" s="11"/>
      <c r="K54" s="11"/>
      <c r="L54" s="11"/>
      <c r="M54" s="17"/>
      <c r="N54" s="17"/>
      <c r="O54" s="45" t="s">
        <v>85</v>
      </c>
    </row>
    <row r="55" spans="1:15" x14ac:dyDescent="0.2">
      <c r="A55" s="40"/>
      <c r="B55" s="40"/>
      <c r="C55" s="40"/>
      <c r="D55" s="40"/>
      <c r="E55" s="40"/>
      <c r="F55" s="40"/>
      <c r="G55" s="40"/>
      <c r="H55" s="41"/>
      <c r="I55" s="42"/>
      <c r="J55" s="40"/>
      <c r="K55" s="40"/>
      <c r="L55" s="40"/>
      <c r="M55" s="43"/>
      <c r="N55" s="43"/>
      <c r="O55" s="44" t="s">
        <v>85</v>
      </c>
    </row>
    <row r="56" spans="1:15" x14ac:dyDescent="0.2">
      <c r="A56" s="11"/>
      <c r="B56" s="11"/>
      <c r="C56" s="11"/>
      <c r="D56" s="11"/>
      <c r="E56" s="11"/>
      <c r="F56" s="11"/>
      <c r="G56" s="11"/>
      <c r="H56" s="12"/>
      <c r="I56" s="13"/>
      <c r="J56" s="11"/>
      <c r="K56" s="11"/>
      <c r="L56" s="11"/>
      <c r="M56" s="17"/>
      <c r="N56" s="17"/>
      <c r="O56" s="45" t="s">
        <v>85</v>
      </c>
    </row>
    <row r="57" spans="1:15" x14ac:dyDescent="0.2">
      <c r="A57" s="40"/>
      <c r="B57" s="40"/>
      <c r="C57" s="40"/>
      <c r="D57" s="40"/>
      <c r="E57" s="40"/>
      <c r="F57" s="40"/>
      <c r="G57" s="40"/>
      <c r="H57" s="41"/>
      <c r="I57" s="42"/>
      <c r="J57" s="40"/>
      <c r="K57" s="40"/>
      <c r="L57" s="40"/>
      <c r="M57" s="43"/>
      <c r="N57" s="43"/>
      <c r="O57" s="44" t="s">
        <v>85</v>
      </c>
    </row>
    <row r="58" spans="1:15" x14ac:dyDescent="0.2">
      <c r="A58" s="11"/>
      <c r="B58" s="11"/>
      <c r="C58" s="11"/>
      <c r="D58" s="11"/>
      <c r="E58" s="11"/>
      <c r="F58" s="11"/>
      <c r="G58" s="11"/>
      <c r="H58" s="12"/>
      <c r="I58" s="13"/>
      <c r="J58" s="11"/>
      <c r="K58" s="11"/>
      <c r="L58" s="11"/>
      <c r="M58" s="17"/>
      <c r="N58" s="17"/>
      <c r="O58" s="45" t="s">
        <v>85</v>
      </c>
    </row>
    <row r="59" spans="1:15" x14ac:dyDescent="0.2">
      <c r="A59" s="40"/>
      <c r="B59" s="40"/>
      <c r="C59" s="40"/>
      <c r="D59" s="40"/>
      <c r="E59" s="40"/>
      <c r="F59" s="40"/>
      <c r="G59" s="40"/>
      <c r="H59" s="41"/>
      <c r="I59" s="42"/>
      <c r="J59" s="40"/>
      <c r="K59" s="40"/>
      <c r="L59" s="40"/>
      <c r="M59" s="43"/>
      <c r="N59" s="43"/>
      <c r="O59" s="44" t="s">
        <v>85</v>
      </c>
    </row>
    <row r="60" spans="1:15" x14ac:dyDescent="0.2">
      <c r="A60" s="11"/>
      <c r="B60" s="11"/>
      <c r="C60" s="11"/>
      <c r="D60" s="11"/>
      <c r="E60" s="11"/>
      <c r="F60" s="11"/>
      <c r="G60" s="11"/>
      <c r="H60" s="12"/>
      <c r="I60" s="13"/>
      <c r="J60" s="11"/>
      <c r="K60" s="11"/>
      <c r="L60" s="11"/>
      <c r="M60" s="17"/>
      <c r="N60" s="17"/>
      <c r="O60" s="45" t="s">
        <v>85</v>
      </c>
    </row>
    <row r="61" spans="1:15" x14ac:dyDescent="0.2">
      <c r="A61" s="40"/>
      <c r="B61" s="40"/>
      <c r="C61" s="40"/>
      <c r="D61" s="40"/>
      <c r="E61" s="40"/>
      <c r="F61" s="40"/>
      <c r="G61" s="40"/>
      <c r="H61" s="41"/>
      <c r="I61" s="42"/>
      <c r="J61" s="40"/>
      <c r="K61" s="40"/>
      <c r="L61" s="40"/>
      <c r="M61" s="43"/>
      <c r="N61" s="43"/>
      <c r="O61" s="44" t="s">
        <v>85</v>
      </c>
    </row>
    <row r="62" spans="1:15" x14ac:dyDescent="0.2">
      <c r="A62" s="11"/>
      <c r="B62" s="11"/>
      <c r="C62" s="11"/>
      <c r="D62" s="11"/>
      <c r="E62" s="11"/>
      <c r="F62" s="11"/>
      <c r="G62" s="11"/>
      <c r="H62" s="12"/>
      <c r="I62" s="13"/>
      <c r="J62" s="11"/>
      <c r="K62" s="11"/>
      <c r="L62" s="11"/>
      <c r="M62" s="17"/>
      <c r="N62" s="17"/>
      <c r="O62" s="45" t="s">
        <v>85</v>
      </c>
    </row>
    <row r="63" spans="1:15" x14ac:dyDescent="0.2">
      <c r="A63" s="40"/>
      <c r="B63" s="40"/>
      <c r="C63" s="40"/>
      <c r="D63" s="40"/>
      <c r="E63" s="40"/>
      <c r="F63" s="40"/>
      <c r="G63" s="40"/>
      <c r="H63" s="41"/>
      <c r="I63" s="42"/>
      <c r="J63" s="40"/>
      <c r="K63" s="40"/>
      <c r="L63" s="40"/>
      <c r="M63" s="43"/>
      <c r="N63" s="43"/>
      <c r="O63" s="44" t="s">
        <v>85</v>
      </c>
    </row>
    <row r="64" spans="1:15" x14ac:dyDescent="0.2">
      <c r="A64" s="11"/>
      <c r="B64" s="11"/>
      <c r="C64" s="11"/>
      <c r="D64" s="11"/>
      <c r="E64" s="11"/>
      <c r="F64" s="11"/>
      <c r="G64" s="11"/>
      <c r="H64" s="12"/>
      <c r="I64" s="13"/>
      <c r="J64" s="11"/>
      <c r="K64" s="11"/>
      <c r="L64" s="11"/>
      <c r="M64" s="17"/>
      <c r="N64" s="17"/>
      <c r="O64" s="45" t="s">
        <v>85</v>
      </c>
    </row>
    <row r="65" spans="1:15" x14ac:dyDescent="0.2">
      <c r="A65" s="40"/>
      <c r="B65" s="40"/>
      <c r="C65" s="40"/>
      <c r="D65" s="40"/>
      <c r="E65" s="40"/>
      <c r="F65" s="40"/>
      <c r="G65" s="40"/>
      <c r="H65" s="41"/>
      <c r="I65" s="42"/>
      <c r="J65" s="40"/>
      <c r="K65" s="40"/>
      <c r="L65" s="40"/>
      <c r="M65" s="43"/>
      <c r="N65" s="43"/>
      <c r="O65" s="44" t="s">
        <v>85</v>
      </c>
    </row>
    <row r="66" spans="1:15" x14ac:dyDescent="0.2">
      <c r="A66" s="11"/>
      <c r="B66" s="11"/>
      <c r="C66" s="11"/>
      <c r="D66" s="11"/>
      <c r="E66" s="11"/>
      <c r="F66" s="11"/>
      <c r="G66" s="11"/>
      <c r="H66" s="12"/>
      <c r="I66" s="13"/>
      <c r="J66" s="11"/>
      <c r="K66" s="11"/>
      <c r="L66" s="11"/>
      <c r="M66" s="17"/>
      <c r="N66" s="17"/>
      <c r="O66" s="45" t="s">
        <v>85</v>
      </c>
    </row>
    <row r="67" spans="1:15" x14ac:dyDescent="0.2">
      <c r="A67" s="40"/>
      <c r="B67" s="40"/>
      <c r="C67" s="40"/>
      <c r="D67" s="40"/>
      <c r="E67" s="40"/>
      <c r="F67" s="40"/>
      <c r="G67" s="40"/>
      <c r="H67" s="41"/>
      <c r="I67" s="42"/>
      <c r="J67" s="40"/>
      <c r="K67" s="40"/>
      <c r="L67" s="40"/>
      <c r="M67" s="43"/>
      <c r="N67" s="43"/>
      <c r="O67" s="44" t="s">
        <v>85</v>
      </c>
    </row>
    <row r="68" spans="1:15" x14ac:dyDescent="0.2">
      <c r="A68" s="11"/>
      <c r="B68" s="11"/>
      <c r="C68" s="11"/>
      <c r="D68" s="11"/>
      <c r="E68" s="11"/>
      <c r="F68" s="11"/>
      <c r="G68" s="11"/>
      <c r="H68" s="12"/>
      <c r="I68" s="13"/>
      <c r="J68" s="11"/>
      <c r="K68" s="11"/>
      <c r="L68" s="11"/>
      <c r="M68" s="17"/>
      <c r="N68" s="17"/>
      <c r="O68" s="45" t="s">
        <v>85</v>
      </c>
    </row>
    <row r="69" spans="1:15" x14ac:dyDescent="0.2">
      <c r="A69" s="40"/>
      <c r="B69" s="40"/>
      <c r="C69" s="40"/>
      <c r="D69" s="40"/>
      <c r="E69" s="40"/>
      <c r="F69" s="40"/>
      <c r="G69" s="40"/>
      <c r="H69" s="41"/>
      <c r="I69" s="42"/>
      <c r="J69" s="40"/>
      <c r="K69" s="40"/>
      <c r="L69" s="40"/>
      <c r="M69" s="43"/>
      <c r="N69" s="43"/>
      <c r="O69" s="44" t="s">
        <v>85</v>
      </c>
    </row>
    <row r="70" spans="1:15" x14ac:dyDescent="0.2">
      <c r="A70" s="11"/>
      <c r="B70" s="11"/>
      <c r="C70" s="11"/>
      <c r="D70" s="11"/>
      <c r="E70" s="11"/>
      <c r="F70" s="11"/>
      <c r="G70" s="11"/>
      <c r="H70" s="12"/>
      <c r="I70" s="13"/>
      <c r="J70" s="11"/>
      <c r="K70" s="11"/>
      <c r="L70" s="11"/>
      <c r="M70" s="17"/>
      <c r="N70" s="17"/>
      <c r="O70" s="45" t="s">
        <v>85</v>
      </c>
    </row>
    <row r="71" spans="1:15" x14ac:dyDescent="0.2">
      <c r="A71" s="40"/>
      <c r="B71" s="40"/>
      <c r="C71" s="40"/>
      <c r="D71" s="40"/>
      <c r="E71" s="40"/>
      <c r="F71" s="40"/>
      <c r="G71" s="40"/>
      <c r="H71" s="41"/>
      <c r="I71" s="42"/>
      <c r="J71" s="40"/>
      <c r="K71" s="40"/>
      <c r="L71" s="40"/>
      <c r="M71" s="43"/>
      <c r="N71" s="43"/>
      <c r="O71" s="44" t="s">
        <v>85</v>
      </c>
    </row>
    <row r="72" spans="1:15" x14ac:dyDescent="0.2">
      <c r="A72" s="11"/>
      <c r="B72" s="11"/>
      <c r="C72" s="11"/>
      <c r="D72" s="11"/>
      <c r="E72" s="11"/>
      <c r="F72" s="11"/>
      <c r="G72" s="11"/>
      <c r="H72" s="12"/>
      <c r="I72" s="13"/>
      <c r="J72" s="11"/>
      <c r="K72" s="11"/>
      <c r="L72" s="11"/>
      <c r="M72" s="17"/>
      <c r="N72" s="17"/>
      <c r="O72" s="45" t="s">
        <v>85</v>
      </c>
    </row>
    <row r="73" spans="1:15" x14ac:dyDescent="0.2">
      <c r="A73" s="40"/>
      <c r="B73" s="40"/>
      <c r="C73" s="40"/>
      <c r="D73" s="40"/>
      <c r="E73" s="40"/>
      <c r="F73" s="40"/>
      <c r="G73" s="40"/>
      <c r="H73" s="41"/>
      <c r="I73" s="42"/>
      <c r="J73" s="40"/>
      <c r="K73" s="40"/>
      <c r="L73" s="40"/>
      <c r="M73" s="43"/>
      <c r="N73" s="43"/>
      <c r="O73" s="44" t="s">
        <v>85</v>
      </c>
    </row>
    <row r="74" spans="1:15" x14ac:dyDescent="0.2">
      <c r="A74" s="11"/>
      <c r="B74" s="11"/>
      <c r="C74" s="11"/>
      <c r="D74" s="11"/>
      <c r="E74" s="11"/>
      <c r="F74" s="11"/>
      <c r="G74" s="11"/>
      <c r="H74" s="12"/>
      <c r="I74" s="13"/>
      <c r="J74" s="11"/>
      <c r="K74" s="11"/>
      <c r="L74" s="11"/>
      <c r="M74" s="17"/>
      <c r="N74" s="17"/>
      <c r="O74" s="45" t="s">
        <v>85</v>
      </c>
    </row>
    <row r="75" spans="1:15" x14ac:dyDescent="0.2">
      <c r="A75" s="40"/>
      <c r="B75" s="40"/>
      <c r="C75" s="40"/>
      <c r="D75" s="40"/>
      <c r="E75" s="40"/>
      <c r="F75" s="40"/>
      <c r="G75" s="40"/>
      <c r="H75" s="41"/>
      <c r="I75" s="42"/>
      <c r="J75" s="40"/>
      <c r="K75" s="40"/>
      <c r="L75" s="40"/>
      <c r="M75" s="43"/>
      <c r="N75" s="43"/>
      <c r="O75" s="44" t="s">
        <v>85</v>
      </c>
    </row>
    <row r="76" spans="1:15" x14ac:dyDescent="0.2">
      <c r="A76" s="11"/>
      <c r="B76" s="11"/>
      <c r="C76" s="11"/>
      <c r="D76" s="11"/>
      <c r="E76" s="11"/>
      <c r="F76" s="11"/>
      <c r="G76" s="11"/>
      <c r="H76" s="12"/>
      <c r="I76" s="13"/>
      <c r="J76" s="11"/>
      <c r="K76" s="11"/>
      <c r="L76" s="11"/>
      <c r="M76" s="17"/>
      <c r="N76" s="17"/>
      <c r="O76" s="45" t="s">
        <v>85</v>
      </c>
    </row>
    <row r="77" spans="1:15" x14ac:dyDescent="0.2">
      <c r="A77" s="40"/>
      <c r="B77" s="40"/>
      <c r="C77" s="40"/>
      <c r="D77" s="40"/>
      <c r="E77" s="40"/>
      <c r="F77" s="40"/>
      <c r="G77" s="40"/>
      <c r="H77" s="41"/>
      <c r="I77" s="42"/>
      <c r="J77" s="40"/>
      <c r="K77" s="40"/>
      <c r="L77" s="40"/>
      <c r="M77" s="43"/>
      <c r="N77" s="43"/>
      <c r="O77" s="44" t="s">
        <v>85</v>
      </c>
    </row>
    <row r="78" spans="1:15" x14ac:dyDescent="0.2">
      <c r="A78" s="11"/>
      <c r="B78" s="11"/>
      <c r="C78" s="11"/>
      <c r="D78" s="11"/>
      <c r="E78" s="11"/>
      <c r="F78" s="11"/>
      <c r="G78" s="11"/>
      <c r="H78" s="12"/>
      <c r="I78" s="13"/>
      <c r="J78" s="11"/>
      <c r="K78" s="11"/>
      <c r="L78" s="11"/>
      <c r="M78" s="17"/>
      <c r="N78" s="17"/>
      <c r="O78" s="45" t="s">
        <v>85</v>
      </c>
    </row>
    <row r="79" spans="1:15" x14ac:dyDescent="0.2">
      <c r="A79" s="40"/>
      <c r="B79" s="40"/>
      <c r="C79" s="40"/>
      <c r="D79" s="40"/>
      <c r="E79" s="40"/>
      <c r="F79" s="40"/>
      <c r="G79" s="40"/>
      <c r="H79" s="41"/>
      <c r="I79" s="42"/>
      <c r="J79" s="40"/>
      <c r="K79" s="40"/>
      <c r="L79" s="40"/>
      <c r="M79" s="43"/>
      <c r="N79" s="43"/>
      <c r="O79" s="44" t="s">
        <v>85</v>
      </c>
    </row>
    <row r="80" spans="1:15" x14ac:dyDescent="0.2">
      <c r="A80" s="11"/>
      <c r="B80" s="11"/>
      <c r="C80" s="11"/>
      <c r="D80" s="11"/>
      <c r="E80" s="11"/>
      <c r="F80" s="11"/>
      <c r="G80" s="11"/>
      <c r="H80" s="12"/>
      <c r="I80" s="13"/>
      <c r="J80" s="11"/>
      <c r="K80" s="11"/>
      <c r="L80" s="11"/>
      <c r="M80" s="17"/>
      <c r="N80" s="17"/>
      <c r="O80" s="45" t="s">
        <v>85</v>
      </c>
    </row>
    <row r="81" spans="1:15" x14ac:dyDescent="0.2">
      <c r="A81" s="40"/>
      <c r="B81" s="40"/>
      <c r="C81" s="40"/>
      <c r="D81" s="40"/>
      <c r="E81" s="40"/>
      <c r="F81" s="40"/>
      <c r="G81" s="40"/>
      <c r="H81" s="41"/>
      <c r="I81" s="42"/>
      <c r="J81" s="40"/>
      <c r="K81" s="40"/>
      <c r="L81" s="40"/>
      <c r="M81" s="43"/>
      <c r="N81" s="43"/>
      <c r="O81" s="44" t="s">
        <v>85</v>
      </c>
    </row>
    <row r="82" spans="1:15" x14ac:dyDescent="0.2">
      <c r="A82" s="11"/>
      <c r="B82" s="11"/>
      <c r="C82" s="11"/>
      <c r="D82" s="11"/>
      <c r="E82" s="11"/>
      <c r="F82" s="11"/>
      <c r="G82" s="11"/>
      <c r="H82" s="12"/>
      <c r="I82" s="13"/>
      <c r="J82" s="11"/>
      <c r="K82" s="11"/>
      <c r="L82" s="11"/>
      <c r="M82" s="17"/>
      <c r="N82" s="17"/>
      <c r="O82" s="45" t="s">
        <v>85</v>
      </c>
    </row>
    <row r="83" spans="1:15" x14ac:dyDescent="0.2">
      <c r="A83" s="40"/>
      <c r="B83" s="40"/>
      <c r="C83" s="40"/>
      <c r="D83" s="40"/>
      <c r="E83" s="40"/>
      <c r="F83" s="40"/>
      <c r="G83" s="40"/>
      <c r="H83" s="41"/>
      <c r="I83" s="42"/>
      <c r="J83" s="40"/>
      <c r="K83" s="40"/>
      <c r="L83" s="40"/>
      <c r="M83" s="43"/>
      <c r="N83" s="43"/>
      <c r="O83" s="44" t="s">
        <v>85</v>
      </c>
    </row>
    <row r="84" spans="1:15" x14ac:dyDescent="0.2">
      <c r="A84" s="11"/>
      <c r="B84" s="11"/>
      <c r="C84" s="11"/>
      <c r="D84" s="11"/>
      <c r="E84" s="11"/>
      <c r="F84" s="11"/>
      <c r="G84" s="11"/>
      <c r="H84" s="12"/>
      <c r="I84" s="13"/>
      <c r="J84" s="11"/>
      <c r="K84" s="11"/>
      <c r="L84" s="11"/>
      <c r="M84" s="17"/>
      <c r="N84" s="17"/>
      <c r="O84" s="45" t="s">
        <v>85</v>
      </c>
    </row>
    <row r="85" spans="1:15" x14ac:dyDescent="0.2">
      <c r="A85" s="40"/>
      <c r="B85" s="40"/>
      <c r="C85" s="40"/>
      <c r="D85" s="40"/>
      <c r="E85" s="40"/>
      <c r="F85" s="40"/>
      <c r="G85" s="40"/>
      <c r="H85" s="41"/>
      <c r="I85" s="42"/>
      <c r="J85" s="40"/>
      <c r="K85" s="40"/>
      <c r="L85" s="40"/>
      <c r="M85" s="43"/>
      <c r="N85" s="43"/>
      <c r="O85" s="44" t="s">
        <v>85</v>
      </c>
    </row>
    <row r="86" spans="1:15" x14ac:dyDescent="0.2">
      <c r="A86" s="11"/>
      <c r="B86" s="11"/>
      <c r="C86" s="11"/>
      <c r="D86" s="11"/>
      <c r="E86" s="11"/>
      <c r="F86" s="11"/>
      <c r="G86" s="11"/>
      <c r="H86" s="12"/>
      <c r="I86" s="13"/>
      <c r="J86" s="11"/>
      <c r="K86" s="11"/>
      <c r="L86" s="11"/>
      <c r="M86" s="17"/>
      <c r="N86" s="17"/>
      <c r="O86" s="45" t="s">
        <v>85</v>
      </c>
    </row>
    <row r="87" spans="1:15" x14ac:dyDescent="0.2">
      <c r="A87" s="40"/>
      <c r="B87" s="40"/>
      <c r="C87" s="40"/>
      <c r="D87" s="40"/>
      <c r="E87" s="40"/>
      <c r="F87" s="40"/>
      <c r="G87" s="40"/>
      <c r="H87" s="41"/>
      <c r="I87" s="42"/>
      <c r="J87" s="40"/>
      <c r="K87" s="40"/>
      <c r="L87" s="40"/>
      <c r="M87" s="43"/>
      <c r="N87" s="43"/>
      <c r="O87" s="44" t="s">
        <v>85</v>
      </c>
    </row>
    <row r="88" spans="1:15" x14ac:dyDescent="0.2">
      <c r="A88" s="11"/>
      <c r="B88" s="11"/>
      <c r="C88" s="11"/>
      <c r="D88" s="11"/>
      <c r="E88" s="11"/>
      <c r="F88" s="11"/>
      <c r="G88" s="11"/>
      <c r="H88" s="12"/>
      <c r="I88" s="13"/>
      <c r="J88" s="11"/>
      <c r="K88" s="11"/>
      <c r="L88" s="11"/>
      <c r="M88" s="17"/>
      <c r="N88" s="17"/>
      <c r="O88" s="45" t="s">
        <v>85</v>
      </c>
    </row>
    <row r="89" spans="1:15" x14ac:dyDescent="0.2">
      <c r="A89" s="40"/>
      <c r="B89" s="40"/>
      <c r="C89" s="40"/>
      <c r="D89" s="40"/>
      <c r="E89" s="40"/>
      <c r="F89" s="40"/>
      <c r="G89" s="40"/>
      <c r="H89" s="41"/>
      <c r="I89" s="42"/>
      <c r="J89" s="40"/>
      <c r="K89" s="40"/>
      <c r="L89" s="40"/>
      <c r="M89" s="43"/>
      <c r="N89" s="43"/>
      <c r="O89" s="44" t="s">
        <v>85</v>
      </c>
    </row>
    <row r="90" spans="1:15" x14ac:dyDescent="0.2">
      <c r="A90" s="11"/>
      <c r="B90" s="11"/>
      <c r="C90" s="11"/>
      <c r="D90" s="11"/>
      <c r="E90" s="11"/>
      <c r="F90" s="11"/>
      <c r="G90" s="11"/>
      <c r="H90" s="12"/>
      <c r="I90" s="13"/>
      <c r="J90" s="11"/>
      <c r="K90" s="11"/>
      <c r="L90" s="11"/>
      <c r="M90" s="17"/>
      <c r="N90" s="17"/>
      <c r="O90" s="45" t="s">
        <v>85</v>
      </c>
    </row>
    <row r="91" spans="1:15" x14ac:dyDescent="0.2">
      <c r="A91" s="40"/>
      <c r="B91" s="40"/>
      <c r="C91" s="40"/>
      <c r="D91" s="40"/>
      <c r="E91" s="40"/>
      <c r="F91" s="40"/>
      <c r="G91" s="40"/>
      <c r="H91" s="41"/>
      <c r="I91" s="42"/>
      <c r="J91" s="40"/>
      <c r="K91" s="40"/>
      <c r="L91" s="40"/>
      <c r="M91" s="43"/>
      <c r="N91" s="43"/>
      <c r="O91" s="44" t="s">
        <v>85</v>
      </c>
    </row>
    <row r="92" spans="1:15" x14ac:dyDescent="0.2">
      <c r="A92" s="11"/>
      <c r="B92" s="11"/>
      <c r="C92" s="11"/>
      <c r="D92" s="11"/>
      <c r="E92" s="11"/>
      <c r="F92" s="11"/>
      <c r="G92" s="11"/>
      <c r="H92" s="12"/>
      <c r="I92" s="13"/>
      <c r="J92" s="11"/>
      <c r="K92" s="11"/>
      <c r="L92" s="11"/>
      <c r="M92" s="17"/>
      <c r="N92" s="17"/>
      <c r="O92" s="45" t="s">
        <v>85</v>
      </c>
    </row>
    <row r="93" spans="1:15" x14ac:dyDescent="0.2">
      <c r="A93" s="40"/>
      <c r="B93" s="40"/>
      <c r="C93" s="40"/>
      <c r="D93" s="40"/>
      <c r="E93" s="40"/>
      <c r="F93" s="40"/>
      <c r="G93" s="40"/>
      <c r="H93" s="41"/>
      <c r="I93" s="42"/>
      <c r="J93" s="40"/>
      <c r="K93" s="40"/>
      <c r="L93" s="40"/>
      <c r="M93" s="43"/>
      <c r="N93" s="43"/>
      <c r="O93" s="44" t="s">
        <v>85</v>
      </c>
    </row>
    <row r="94" spans="1:15" x14ac:dyDescent="0.2">
      <c r="A94" s="11"/>
      <c r="B94" s="11"/>
      <c r="C94" s="11"/>
      <c r="D94" s="11"/>
      <c r="E94" s="11"/>
      <c r="F94" s="11"/>
      <c r="G94" s="11"/>
      <c r="H94" s="12"/>
      <c r="I94" s="13"/>
      <c r="J94" s="11"/>
      <c r="K94" s="11"/>
      <c r="L94" s="11"/>
      <c r="M94" s="17"/>
      <c r="N94" s="17"/>
      <c r="O94" s="45" t="s">
        <v>85</v>
      </c>
    </row>
    <row r="95" spans="1:15" x14ac:dyDescent="0.2">
      <c r="A95" s="40"/>
      <c r="B95" s="40"/>
      <c r="C95" s="40"/>
      <c r="D95" s="40"/>
      <c r="E95" s="40"/>
      <c r="F95" s="40"/>
      <c r="G95" s="40"/>
      <c r="H95" s="41"/>
      <c r="I95" s="42"/>
      <c r="J95" s="40"/>
      <c r="K95" s="40"/>
      <c r="L95" s="40"/>
      <c r="M95" s="43"/>
      <c r="N95" s="43"/>
      <c r="O95" s="44" t="s">
        <v>85</v>
      </c>
    </row>
    <row r="96" spans="1:15" x14ac:dyDescent="0.2">
      <c r="A96" s="11"/>
      <c r="B96" s="11"/>
      <c r="C96" s="11"/>
      <c r="D96" s="11"/>
      <c r="E96" s="11"/>
      <c r="F96" s="11"/>
      <c r="G96" s="11"/>
      <c r="H96" s="12"/>
      <c r="I96" s="13"/>
      <c r="J96" s="11"/>
      <c r="K96" s="11"/>
      <c r="L96" s="11"/>
      <c r="M96" s="17"/>
      <c r="N96" s="17"/>
      <c r="O96" s="45" t="s">
        <v>85</v>
      </c>
    </row>
    <row r="97" spans="1:15" x14ac:dyDescent="0.2">
      <c r="A97" s="40"/>
      <c r="B97" s="40"/>
      <c r="C97" s="40"/>
      <c r="D97" s="40"/>
      <c r="E97" s="40"/>
      <c r="F97" s="40"/>
      <c r="G97" s="40"/>
      <c r="H97" s="41"/>
      <c r="I97" s="42"/>
      <c r="J97" s="40"/>
      <c r="K97" s="40"/>
      <c r="L97" s="40"/>
      <c r="M97" s="43"/>
      <c r="N97" s="43"/>
      <c r="O97" s="44" t="s">
        <v>85</v>
      </c>
    </row>
    <row r="98" spans="1:15" x14ac:dyDescent="0.2">
      <c r="A98" s="11"/>
      <c r="B98" s="11"/>
      <c r="C98" s="11"/>
      <c r="D98" s="11"/>
      <c r="E98" s="11"/>
      <c r="F98" s="11"/>
      <c r="G98" s="11"/>
      <c r="H98" s="12"/>
      <c r="I98" s="13"/>
      <c r="J98" s="11"/>
      <c r="K98" s="11"/>
      <c r="L98" s="11"/>
      <c r="M98" s="17"/>
      <c r="N98" s="17"/>
      <c r="O98" s="45" t="s">
        <v>85</v>
      </c>
    </row>
    <row r="99" spans="1:15" x14ac:dyDescent="0.2">
      <c r="A99" s="40"/>
      <c r="B99" s="40"/>
      <c r="C99" s="40"/>
      <c r="D99" s="40"/>
      <c r="E99" s="40"/>
      <c r="F99" s="40"/>
      <c r="G99" s="40"/>
      <c r="H99" s="41"/>
      <c r="I99" s="42"/>
      <c r="J99" s="40"/>
      <c r="K99" s="40"/>
      <c r="L99" s="40"/>
      <c r="M99" s="43"/>
      <c r="N99" s="43"/>
      <c r="O99" s="44" t="s">
        <v>85</v>
      </c>
    </row>
    <row r="100" spans="1:15" x14ac:dyDescent="0.2">
      <c r="A100" s="11"/>
      <c r="B100" s="11"/>
      <c r="C100" s="11"/>
      <c r="D100" s="11"/>
      <c r="E100" s="11"/>
      <c r="F100" s="11"/>
      <c r="G100" s="11"/>
      <c r="H100" s="12"/>
      <c r="I100" s="13"/>
      <c r="J100" s="11"/>
      <c r="K100" s="11"/>
      <c r="L100" s="11"/>
      <c r="M100" s="17"/>
      <c r="N100" s="17"/>
      <c r="O100" s="45" t="s">
        <v>85</v>
      </c>
    </row>
    <row r="101" spans="1:15" x14ac:dyDescent="0.2">
      <c r="A101" s="40"/>
      <c r="B101" s="40"/>
      <c r="C101" s="40"/>
      <c r="D101" s="40"/>
      <c r="E101" s="40"/>
      <c r="F101" s="40"/>
      <c r="G101" s="40"/>
      <c r="H101" s="41"/>
      <c r="I101" s="42"/>
      <c r="J101" s="40"/>
      <c r="K101" s="40"/>
      <c r="L101" s="40"/>
      <c r="M101" s="43"/>
      <c r="N101" s="43"/>
      <c r="O101" s="44" t="s">
        <v>85</v>
      </c>
    </row>
    <row r="102" spans="1:15" x14ac:dyDescent="0.2">
      <c r="A102" s="11"/>
      <c r="B102" s="11"/>
      <c r="C102" s="11"/>
      <c r="D102" s="11"/>
      <c r="E102" s="11"/>
      <c r="F102" s="11"/>
      <c r="G102" s="11"/>
      <c r="H102" s="12"/>
      <c r="I102" s="13"/>
      <c r="J102" s="11"/>
      <c r="K102" s="11"/>
      <c r="L102" s="11"/>
      <c r="M102" s="17"/>
      <c r="N102" s="17"/>
      <c r="O102" s="45" t="s">
        <v>85</v>
      </c>
    </row>
    <row r="103" spans="1:15" x14ac:dyDescent="0.2">
      <c r="A103" s="40"/>
      <c r="B103" s="40"/>
      <c r="C103" s="40"/>
      <c r="D103" s="40"/>
      <c r="E103" s="40"/>
      <c r="F103" s="40"/>
      <c r="G103" s="40"/>
      <c r="H103" s="41"/>
      <c r="I103" s="42"/>
      <c r="J103" s="40"/>
      <c r="K103" s="40"/>
      <c r="L103" s="40"/>
      <c r="M103" s="43"/>
      <c r="N103" s="43"/>
      <c r="O103" s="44" t="s">
        <v>85</v>
      </c>
    </row>
    <row r="104" spans="1:15" x14ac:dyDescent="0.2">
      <c r="A104" s="11"/>
      <c r="B104" s="11"/>
      <c r="C104" s="11"/>
      <c r="D104" s="11"/>
      <c r="E104" s="11"/>
      <c r="F104" s="11"/>
      <c r="G104" s="11"/>
      <c r="H104" s="12"/>
      <c r="I104" s="13"/>
      <c r="J104" s="11"/>
      <c r="K104" s="11"/>
      <c r="L104" s="11"/>
      <c r="M104" s="17"/>
      <c r="N104" s="17"/>
      <c r="O104" s="45" t="s">
        <v>85</v>
      </c>
    </row>
    <row r="105" spans="1:15" x14ac:dyDescent="0.2">
      <c r="A105" s="40"/>
      <c r="B105" s="40"/>
      <c r="C105" s="40"/>
      <c r="D105" s="40"/>
      <c r="E105" s="40"/>
      <c r="F105" s="40"/>
      <c r="G105" s="40"/>
      <c r="H105" s="41"/>
      <c r="I105" s="42"/>
      <c r="J105" s="40"/>
      <c r="K105" s="40"/>
      <c r="L105" s="40"/>
      <c r="M105" s="43"/>
      <c r="N105" s="43"/>
      <c r="O105" s="44" t="s">
        <v>85</v>
      </c>
    </row>
    <row r="106" spans="1:15" x14ac:dyDescent="0.2">
      <c r="A106" s="11"/>
      <c r="B106" s="11"/>
      <c r="C106" s="11"/>
      <c r="D106" s="11"/>
      <c r="E106" s="11"/>
      <c r="F106" s="11"/>
      <c r="G106" s="11"/>
      <c r="H106" s="12"/>
      <c r="I106" s="13"/>
      <c r="J106" s="11"/>
      <c r="K106" s="11"/>
      <c r="L106" s="11"/>
      <c r="M106" s="17"/>
      <c r="N106" s="17"/>
      <c r="O106" s="45" t="s">
        <v>85</v>
      </c>
    </row>
    <row r="107" spans="1:15" x14ac:dyDescent="0.2">
      <c r="A107" s="40"/>
      <c r="B107" s="40"/>
      <c r="C107" s="40"/>
      <c r="D107" s="40"/>
      <c r="E107" s="40"/>
      <c r="F107" s="40"/>
      <c r="G107" s="40"/>
      <c r="H107" s="41"/>
      <c r="I107" s="42"/>
      <c r="J107" s="40"/>
      <c r="K107" s="40"/>
      <c r="L107" s="40"/>
      <c r="M107" s="43"/>
      <c r="N107" s="43"/>
      <c r="O107" s="44" t="s">
        <v>85</v>
      </c>
    </row>
    <row r="108" spans="1:15" x14ac:dyDescent="0.2">
      <c r="A108" s="11"/>
      <c r="B108" s="11"/>
      <c r="C108" s="11"/>
      <c r="D108" s="11"/>
      <c r="E108" s="11"/>
      <c r="F108" s="11"/>
      <c r="G108" s="11"/>
      <c r="H108" s="12"/>
      <c r="I108" s="13"/>
      <c r="J108" s="11"/>
      <c r="K108" s="11"/>
      <c r="L108" s="11"/>
      <c r="M108" s="17"/>
      <c r="N108" s="17"/>
      <c r="O108" s="45" t="s">
        <v>85</v>
      </c>
    </row>
    <row r="109" spans="1:15" x14ac:dyDescent="0.2">
      <c r="A109" s="40"/>
      <c r="B109" s="40"/>
      <c r="C109" s="40"/>
      <c r="D109" s="40"/>
      <c r="E109" s="40"/>
      <c r="F109" s="40"/>
      <c r="G109" s="40"/>
      <c r="H109" s="41"/>
      <c r="I109" s="42"/>
      <c r="J109" s="40"/>
      <c r="K109" s="40"/>
      <c r="L109" s="40"/>
      <c r="M109" s="43"/>
      <c r="N109" s="43"/>
      <c r="O109" s="44" t="s">
        <v>85</v>
      </c>
    </row>
    <row r="110" spans="1:15" x14ac:dyDescent="0.2">
      <c r="A110" s="11"/>
      <c r="B110" s="11"/>
      <c r="C110" s="11"/>
      <c r="D110" s="11"/>
      <c r="E110" s="11"/>
      <c r="F110" s="11"/>
      <c r="G110" s="11"/>
      <c r="H110" s="12"/>
      <c r="I110" s="13"/>
      <c r="J110" s="11"/>
      <c r="K110" s="11"/>
      <c r="L110" s="11"/>
      <c r="M110" s="17"/>
      <c r="N110" s="17"/>
      <c r="O110" s="45" t="s">
        <v>85</v>
      </c>
    </row>
    <row r="111" spans="1:15" x14ac:dyDescent="0.2">
      <c r="A111" s="40"/>
      <c r="B111" s="40"/>
      <c r="C111" s="40"/>
      <c r="D111" s="40"/>
      <c r="E111" s="40"/>
      <c r="F111" s="40"/>
      <c r="G111" s="40"/>
      <c r="H111" s="41"/>
      <c r="I111" s="42"/>
      <c r="J111" s="40"/>
      <c r="K111" s="40"/>
      <c r="L111" s="40"/>
      <c r="M111" s="43"/>
      <c r="N111" s="43"/>
      <c r="O111" s="44" t="s">
        <v>85</v>
      </c>
    </row>
    <row r="112" spans="1:15" x14ac:dyDescent="0.2">
      <c r="A112" s="11"/>
      <c r="B112" s="11"/>
      <c r="C112" s="11"/>
      <c r="D112" s="11"/>
      <c r="E112" s="11"/>
      <c r="F112" s="11"/>
      <c r="G112" s="11"/>
      <c r="H112" s="12"/>
      <c r="I112" s="13"/>
      <c r="J112" s="11"/>
      <c r="K112" s="11"/>
      <c r="L112" s="11"/>
      <c r="M112" s="17"/>
      <c r="N112" s="17"/>
      <c r="O112" s="45" t="s">
        <v>85</v>
      </c>
    </row>
    <row r="113" spans="1:15" x14ac:dyDescent="0.2">
      <c r="A113" s="40"/>
      <c r="B113" s="40"/>
      <c r="C113" s="40"/>
      <c r="D113" s="40"/>
      <c r="E113" s="40"/>
      <c r="F113" s="40"/>
      <c r="G113" s="40"/>
      <c r="H113" s="41"/>
      <c r="I113" s="42"/>
      <c r="J113" s="40"/>
      <c r="K113" s="40"/>
      <c r="L113" s="40"/>
      <c r="M113" s="43"/>
      <c r="N113" s="43"/>
      <c r="O113" s="44" t="s">
        <v>85</v>
      </c>
    </row>
    <row r="114" spans="1:15" x14ac:dyDescent="0.2">
      <c r="A114" s="11"/>
      <c r="B114" s="11"/>
      <c r="C114" s="11"/>
      <c r="D114" s="11"/>
      <c r="E114" s="11"/>
      <c r="F114" s="11"/>
      <c r="G114" s="11"/>
      <c r="H114" s="12"/>
      <c r="I114" s="13"/>
      <c r="J114" s="11"/>
      <c r="K114" s="11"/>
      <c r="L114" s="11"/>
      <c r="M114" s="17"/>
      <c r="N114" s="17"/>
      <c r="O114" s="45" t="s">
        <v>85</v>
      </c>
    </row>
    <row r="115" spans="1:15" x14ac:dyDescent="0.2">
      <c r="A115" s="40"/>
      <c r="B115" s="40"/>
      <c r="C115" s="40"/>
      <c r="D115" s="40"/>
      <c r="E115" s="40"/>
      <c r="F115" s="40"/>
      <c r="G115" s="40"/>
      <c r="H115" s="41"/>
      <c r="I115" s="42"/>
      <c r="J115" s="40"/>
      <c r="K115" s="40"/>
      <c r="L115" s="40"/>
      <c r="M115" s="43"/>
      <c r="N115" s="43"/>
      <c r="O115" s="44" t="s">
        <v>85</v>
      </c>
    </row>
    <row r="116" spans="1:15" x14ac:dyDescent="0.2">
      <c r="A116" s="11"/>
      <c r="B116" s="11"/>
      <c r="C116" s="11"/>
      <c r="D116" s="11"/>
      <c r="E116" s="11"/>
      <c r="F116" s="11"/>
      <c r="G116" s="11"/>
      <c r="H116" s="12"/>
      <c r="I116" s="13"/>
      <c r="J116" s="11"/>
      <c r="K116" s="11"/>
      <c r="L116" s="11"/>
      <c r="M116" s="17"/>
      <c r="N116" s="17"/>
      <c r="O116" s="45" t="s">
        <v>85</v>
      </c>
    </row>
    <row r="117" spans="1:15" x14ac:dyDescent="0.2">
      <c r="A117" s="40"/>
      <c r="B117" s="40"/>
      <c r="C117" s="40"/>
      <c r="D117" s="40"/>
      <c r="E117" s="40"/>
      <c r="F117" s="40"/>
      <c r="G117" s="40"/>
      <c r="H117" s="41"/>
      <c r="I117" s="42"/>
      <c r="J117" s="40"/>
      <c r="K117" s="40"/>
      <c r="L117" s="40"/>
      <c r="M117" s="43"/>
      <c r="N117" s="43"/>
      <c r="O117" s="44" t="s">
        <v>85</v>
      </c>
    </row>
    <row r="118" spans="1:15" x14ac:dyDescent="0.2">
      <c r="A118" s="11"/>
      <c r="B118" s="11"/>
      <c r="C118" s="11"/>
      <c r="D118" s="11"/>
      <c r="E118" s="11"/>
      <c r="F118" s="11"/>
      <c r="G118" s="11"/>
      <c r="H118" s="12"/>
      <c r="I118" s="13"/>
      <c r="J118" s="11"/>
      <c r="K118" s="11"/>
      <c r="L118" s="11"/>
      <c r="M118" s="17"/>
      <c r="N118" s="17"/>
      <c r="O118" s="45" t="s">
        <v>85</v>
      </c>
    </row>
    <row r="119" spans="1:15" x14ac:dyDescent="0.2">
      <c r="A119" s="40"/>
      <c r="B119" s="40"/>
      <c r="C119" s="40"/>
      <c r="D119" s="40"/>
      <c r="E119" s="40"/>
      <c r="F119" s="40"/>
      <c r="G119" s="40"/>
      <c r="H119" s="41"/>
      <c r="I119" s="42"/>
      <c r="J119" s="40"/>
      <c r="K119" s="40"/>
      <c r="L119" s="40"/>
      <c r="M119" s="43"/>
      <c r="N119" s="43"/>
      <c r="O119" s="44" t="s">
        <v>85</v>
      </c>
    </row>
    <row r="120" spans="1:15" x14ac:dyDescent="0.2">
      <c r="A120" s="11"/>
      <c r="B120" s="11"/>
      <c r="C120" s="11"/>
      <c r="D120" s="11"/>
      <c r="E120" s="11"/>
      <c r="F120" s="11"/>
      <c r="G120" s="11"/>
      <c r="H120" s="12"/>
      <c r="I120" s="13"/>
      <c r="J120" s="11"/>
      <c r="K120" s="11"/>
      <c r="L120" s="11"/>
      <c r="M120" s="17"/>
      <c r="N120" s="17"/>
      <c r="O120" s="45" t="s">
        <v>85</v>
      </c>
    </row>
    <row r="121" spans="1:15" x14ac:dyDescent="0.2">
      <c r="A121" s="40"/>
      <c r="B121" s="40"/>
      <c r="C121" s="40"/>
      <c r="D121" s="40"/>
      <c r="E121" s="40"/>
      <c r="F121" s="40"/>
      <c r="G121" s="40"/>
      <c r="H121" s="41"/>
      <c r="I121" s="42"/>
      <c r="J121" s="40"/>
      <c r="K121" s="40"/>
      <c r="L121" s="40"/>
      <c r="M121" s="43"/>
      <c r="N121" s="43"/>
      <c r="O121" s="44" t="s">
        <v>85</v>
      </c>
    </row>
    <row r="122" spans="1:15" x14ac:dyDescent="0.2">
      <c r="A122" s="11"/>
      <c r="B122" s="11"/>
      <c r="C122" s="11"/>
      <c r="D122" s="11"/>
      <c r="E122" s="11"/>
      <c r="F122" s="11"/>
      <c r="G122" s="11"/>
      <c r="H122" s="12"/>
      <c r="I122" s="13"/>
      <c r="J122" s="11"/>
      <c r="K122" s="11"/>
      <c r="L122" s="11"/>
      <c r="M122" s="17"/>
      <c r="N122" s="17"/>
      <c r="O122" s="45" t="s">
        <v>85</v>
      </c>
    </row>
    <row r="123" spans="1:15" x14ac:dyDescent="0.2">
      <c r="A123" s="40"/>
      <c r="B123" s="40"/>
      <c r="C123" s="40"/>
      <c r="D123" s="40"/>
      <c r="E123" s="40"/>
      <c r="F123" s="40"/>
      <c r="G123" s="40"/>
      <c r="H123" s="41"/>
      <c r="I123" s="42"/>
      <c r="J123" s="40"/>
      <c r="K123" s="40"/>
      <c r="L123" s="40"/>
      <c r="M123" s="43"/>
      <c r="N123" s="43"/>
      <c r="O123" s="44" t="s">
        <v>85</v>
      </c>
    </row>
    <row r="124" spans="1:15" x14ac:dyDescent="0.2">
      <c r="A124" s="11"/>
      <c r="B124" s="11"/>
      <c r="C124" s="11"/>
      <c r="D124" s="11"/>
      <c r="E124" s="11"/>
      <c r="F124" s="11"/>
      <c r="G124" s="11"/>
      <c r="H124" s="12"/>
      <c r="I124" s="13"/>
      <c r="J124" s="11"/>
      <c r="K124" s="11"/>
      <c r="L124" s="11"/>
      <c r="M124" s="17"/>
      <c r="N124" s="17"/>
      <c r="O124" s="45" t="s">
        <v>85</v>
      </c>
    </row>
    <row r="125" spans="1:15" x14ac:dyDescent="0.2">
      <c r="A125" s="40"/>
      <c r="B125" s="40"/>
      <c r="C125" s="40"/>
      <c r="D125" s="40"/>
      <c r="E125" s="40"/>
      <c r="F125" s="40"/>
      <c r="G125" s="40"/>
      <c r="H125" s="41"/>
      <c r="I125" s="42"/>
      <c r="J125" s="40"/>
      <c r="K125" s="40"/>
      <c r="L125" s="40"/>
      <c r="M125" s="43"/>
      <c r="N125" s="43"/>
      <c r="O125" s="44" t="s">
        <v>85</v>
      </c>
    </row>
    <row r="126" spans="1:15" x14ac:dyDescent="0.2">
      <c r="A126" s="11"/>
      <c r="B126" s="11"/>
      <c r="C126" s="11"/>
      <c r="D126" s="11"/>
      <c r="E126" s="11"/>
      <c r="F126" s="11"/>
      <c r="G126" s="11"/>
      <c r="H126" s="12"/>
      <c r="I126" s="13"/>
      <c r="J126" s="11"/>
      <c r="K126" s="11"/>
      <c r="L126" s="11"/>
      <c r="M126" s="17"/>
      <c r="N126" s="17"/>
      <c r="O126" s="45" t="s">
        <v>85</v>
      </c>
    </row>
    <row r="127" spans="1:15" x14ac:dyDescent="0.2">
      <c r="A127" s="40"/>
      <c r="B127" s="40"/>
      <c r="C127" s="40"/>
      <c r="D127" s="40"/>
      <c r="E127" s="40"/>
      <c r="F127" s="40"/>
      <c r="G127" s="40"/>
      <c r="H127" s="41"/>
      <c r="I127" s="42"/>
      <c r="J127" s="40"/>
      <c r="K127" s="40"/>
      <c r="L127" s="40"/>
      <c r="M127" s="43"/>
      <c r="N127" s="43"/>
      <c r="O127" s="44" t="s">
        <v>85</v>
      </c>
    </row>
    <row r="128" spans="1:15" x14ac:dyDescent="0.2">
      <c r="A128" s="11"/>
      <c r="B128" s="11"/>
      <c r="C128" s="11"/>
      <c r="D128" s="11"/>
      <c r="E128" s="11"/>
      <c r="F128" s="11"/>
      <c r="G128" s="11"/>
      <c r="H128" s="12"/>
      <c r="I128" s="13"/>
      <c r="J128" s="11"/>
      <c r="K128" s="11"/>
      <c r="L128" s="11"/>
      <c r="M128" s="17"/>
      <c r="N128" s="17"/>
      <c r="O128" s="45" t="s">
        <v>85</v>
      </c>
    </row>
    <row r="129" spans="1:15" x14ac:dyDescent="0.2">
      <c r="A129" s="40"/>
      <c r="B129" s="40"/>
      <c r="C129" s="40"/>
      <c r="D129" s="40"/>
      <c r="E129" s="40"/>
      <c r="F129" s="40"/>
      <c r="G129" s="40"/>
      <c r="H129" s="41"/>
      <c r="I129" s="42"/>
      <c r="J129" s="40"/>
      <c r="K129" s="40"/>
      <c r="L129" s="40"/>
      <c r="M129" s="43"/>
      <c r="N129" s="43"/>
      <c r="O129" s="44" t="s">
        <v>85</v>
      </c>
    </row>
    <row r="130" spans="1:15" x14ac:dyDescent="0.2">
      <c r="A130" s="11"/>
      <c r="B130" s="11"/>
      <c r="C130" s="11"/>
      <c r="D130" s="11"/>
      <c r="E130" s="11"/>
      <c r="F130" s="11"/>
      <c r="G130" s="11"/>
      <c r="H130" s="12"/>
      <c r="I130" s="13"/>
      <c r="J130" s="11"/>
      <c r="K130" s="11"/>
      <c r="L130" s="11"/>
      <c r="M130" s="17"/>
      <c r="N130" s="17"/>
      <c r="O130" s="45" t="s">
        <v>85</v>
      </c>
    </row>
    <row r="131" spans="1:15" x14ac:dyDescent="0.2">
      <c r="A131" s="40"/>
      <c r="B131" s="40"/>
      <c r="C131" s="40"/>
      <c r="D131" s="40"/>
      <c r="E131" s="40"/>
      <c r="F131" s="40"/>
      <c r="G131" s="40"/>
      <c r="H131" s="41"/>
      <c r="I131" s="42"/>
      <c r="J131" s="40"/>
      <c r="K131" s="40"/>
      <c r="L131" s="40"/>
      <c r="M131" s="43"/>
      <c r="N131" s="43"/>
      <c r="O131" s="44" t="s">
        <v>85</v>
      </c>
    </row>
    <row r="132" spans="1:15" x14ac:dyDescent="0.2">
      <c r="A132" s="11"/>
      <c r="B132" s="11"/>
      <c r="C132" s="11"/>
      <c r="D132" s="11"/>
      <c r="E132" s="11"/>
      <c r="F132" s="11"/>
      <c r="G132" s="11"/>
      <c r="H132" s="12"/>
      <c r="I132" s="13"/>
      <c r="J132" s="11"/>
      <c r="K132" s="11"/>
      <c r="L132" s="11"/>
      <c r="M132" s="17"/>
      <c r="N132" s="17"/>
      <c r="O132" s="45" t="s">
        <v>85</v>
      </c>
    </row>
    <row r="133" spans="1:15" x14ac:dyDescent="0.2">
      <c r="A133" s="40"/>
      <c r="B133" s="40"/>
      <c r="C133" s="40"/>
      <c r="D133" s="40"/>
      <c r="E133" s="40"/>
      <c r="F133" s="40"/>
      <c r="G133" s="40"/>
      <c r="H133" s="41"/>
      <c r="I133" s="42"/>
      <c r="J133" s="40"/>
      <c r="K133" s="40"/>
      <c r="L133" s="40"/>
      <c r="M133" s="43"/>
      <c r="N133" s="43"/>
      <c r="O133" s="44" t="s">
        <v>85</v>
      </c>
    </row>
    <row r="134" spans="1:15" x14ac:dyDescent="0.2">
      <c r="A134" s="11"/>
      <c r="B134" s="11"/>
      <c r="C134" s="11"/>
      <c r="D134" s="11"/>
      <c r="E134" s="11"/>
      <c r="F134" s="11"/>
      <c r="G134" s="11"/>
      <c r="H134" s="12"/>
      <c r="I134" s="13"/>
      <c r="J134" s="11"/>
      <c r="K134" s="11"/>
      <c r="L134" s="11"/>
      <c r="M134" s="17"/>
      <c r="N134" s="17"/>
      <c r="O134" s="45" t="s">
        <v>85</v>
      </c>
    </row>
    <row r="135" spans="1:15" x14ac:dyDescent="0.2">
      <c r="A135" s="40"/>
      <c r="B135" s="40"/>
      <c r="C135" s="40"/>
      <c r="D135" s="40"/>
      <c r="E135" s="40"/>
      <c r="F135" s="40"/>
      <c r="G135" s="40"/>
      <c r="H135" s="41"/>
      <c r="I135" s="42"/>
      <c r="J135" s="40"/>
      <c r="K135" s="40"/>
      <c r="L135" s="40"/>
      <c r="M135" s="43"/>
      <c r="N135" s="43"/>
      <c r="O135" s="44" t="s">
        <v>85</v>
      </c>
    </row>
    <row r="136" spans="1:15" x14ac:dyDescent="0.2">
      <c r="A136" s="11"/>
      <c r="B136" s="11"/>
      <c r="C136" s="11"/>
      <c r="D136" s="11"/>
      <c r="E136" s="11"/>
      <c r="F136" s="11"/>
      <c r="G136" s="11"/>
      <c r="H136" s="12"/>
      <c r="I136" s="13"/>
      <c r="J136" s="11"/>
      <c r="K136" s="11"/>
      <c r="L136" s="11"/>
      <c r="M136" s="17"/>
      <c r="N136" s="17"/>
      <c r="O136" s="45" t="s">
        <v>85</v>
      </c>
    </row>
    <row r="137" spans="1:15" x14ac:dyDescent="0.2">
      <c r="A137" s="40"/>
      <c r="B137" s="40"/>
      <c r="C137" s="40"/>
      <c r="D137" s="40"/>
      <c r="E137" s="40"/>
      <c r="F137" s="40"/>
      <c r="G137" s="40"/>
      <c r="H137" s="41"/>
      <c r="I137" s="42"/>
      <c r="J137" s="40"/>
      <c r="K137" s="40"/>
      <c r="L137" s="40"/>
      <c r="M137" s="43"/>
      <c r="N137" s="43"/>
      <c r="O137" s="44" t="s">
        <v>85</v>
      </c>
    </row>
    <row r="138" spans="1:15" x14ac:dyDescent="0.2">
      <c r="A138" s="11"/>
      <c r="B138" s="11"/>
      <c r="C138" s="11"/>
      <c r="D138" s="11"/>
      <c r="E138" s="11"/>
      <c r="F138" s="11"/>
      <c r="G138" s="11"/>
      <c r="H138" s="12"/>
      <c r="I138" s="13"/>
      <c r="J138" s="11"/>
      <c r="K138" s="11"/>
      <c r="L138" s="11"/>
      <c r="M138" s="17"/>
      <c r="N138" s="17"/>
      <c r="O138" s="45" t="s">
        <v>85</v>
      </c>
    </row>
    <row r="139" spans="1:15" x14ac:dyDescent="0.2">
      <c r="A139" s="40"/>
      <c r="B139" s="40"/>
      <c r="C139" s="40"/>
      <c r="D139" s="40"/>
      <c r="E139" s="40"/>
      <c r="F139" s="40"/>
      <c r="G139" s="40"/>
      <c r="H139" s="41"/>
      <c r="I139" s="42"/>
      <c r="J139" s="40"/>
      <c r="K139" s="40"/>
      <c r="L139" s="40"/>
      <c r="M139" s="43"/>
      <c r="N139" s="43"/>
      <c r="O139" s="44" t="s">
        <v>85</v>
      </c>
    </row>
    <row r="140" spans="1:15" x14ac:dyDescent="0.2">
      <c r="A140" s="11"/>
      <c r="B140" s="11"/>
      <c r="C140" s="11"/>
      <c r="D140" s="11"/>
      <c r="E140" s="11"/>
      <c r="F140" s="11"/>
      <c r="G140" s="11"/>
      <c r="H140" s="12"/>
      <c r="I140" s="13"/>
      <c r="J140" s="11"/>
      <c r="K140" s="11"/>
      <c r="L140" s="11"/>
      <c r="M140" s="17"/>
      <c r="N140" s="17"/>
      <c r="O140" s="45" t="s">
        <v>85</v>
      </c>
    </row>
    <row r="141" spans="1:15" x14ac:dyDescent="0.2">
      <c r="A141" s="40"/>
      <c r="B141" s="40"/>
      <c r="C141" s="40"/>
      <c r="D141" s="40"/>
      <c r="E141" s="40"/>
      <c r="F141" s="40"/>
      <c r="G141" s="40"/>
      <c r="H141" s="41"/>
      <c r="I141" s="42"/>
      <c r="J141" s="40"/>
      <c r="K141" s="40"/>
      <c r="L141" s="40"/>
      <c r="M141" s="43"/>
      <c r="N141" s="43"/>
      <c r="O141" s="44" t="s">
        <v>85</v>
      </c>
    </row>
    <row r="142" spans="1:15" x14ac:dyDescent="0.2">
      <c r="A142" s="11"/>
      <c r="B142" s="11"/>
      <c r="C142" s="11"/>
      <c r="D142" s="11"/>
      <c r="E142" s="11"/>
      <c r="F142" s="11"/>
      <c r="G142" s="11"/>
      <c r="H142" s="12"/>
      <c r="I142" s="13"/>
      <c r="J142" s="11"/>
      <c r="K142" s="11"/>
      <c r="L142" s="11"/>
      <c r="M142" s="17"/>
      <c r="N142" s="17"/>
      <c r="O142" s="45" t="s">
        <v>85</v>
      </c>
    </row>
    <row r="143" spans="1:15" x14ac:dyDescent="0.2">
      <c r="A143" s="40"/>
      <c r="B143" s="40"/>
      <c r="C143" s="40"/>
      <c r="D143" s="40"/>
      <c r="E143" s="40"/>
      <c r="F143" s="40"/>
      <c r="G143" s="40"/>
      <c r="H143" s="41"/>
      <c r="I143" s="42"/>
      <c r="J143" s="40"/>
      <c r="K143" s="40"/>
      <c r="L143" s="40"/>
      <c r="M143" s="43"/>
      <c r="N143" s="43"/>
      <c r="O143" s="44" t="s">
        <v>85</v>
      </c>
    </row>
    <row r="144" spans="1:15" x14ac:dyDescent="0.2">
      <c r="A144" s="11"/>
      <c r="B144" s="11"/>
      <c r="C144" s="11"/>
      <c r="D144" s="11"/>
      <c r="E144" s="11"/>
      <c r="F144" s="11"/>
      <c r="G144" s="11"/>
      <c r="H144" s="12"/>
      <c r="I144" s="13"/>
      <c r="J144" s="11"/>
      <c r="K144" s="11"/>
      <c r="L144" s="11"/>
      <c r="M144" s="17"/>
      <c r="N144" s="17"/>
      <c r="O144" s="45" t="s">
        <v>85</v>
      </c>
    </row>
    <row r="145" spans="1:15" x14ac:dyDescent="0.2">
      <c r="A145" s="40"/>
      <c r="B145" s="40"/>
      <c r="C145" s="40"/>
      <c r="D145" s="40"/>
      <c r="E145" s="40"/>
      <c r="F145" s="40"/>
      <c r="G145" s="40"/>
      <c r="H145" s="41"/>
      <c r="I145" s="42"/>
      <c r="J145" s="40"/>
      <c r="K145" s="40"/>
      <c r="L145" s="40"/>
      <c r="M145" s="43"/>
      <c r="N145" s="43"/>
      <c r="O145" s="44" t="s">
        <v>85</v>
      </c>
    </row>
    <row r="146" spans="1:15" x14ac:dyDescent="0.2">
      <c r="A146" s="11"/>
      <c r="B146" s="11"/>
      <c r="C146" s="11"/>
      <c r="D146" s="11"/>
      <c r="E146" s="11"/>
      <c r="F146" s="11"/>
      <c r="G146" s="11"/>
      <c r="H146" s="12"/>
      <c r="I146" s="13"/>
      <c r="J146" s="11"/>
      <c r="K146" s="11"/>
      <c r="L146" s="11"/>
      <c r="M146" s="17"/>
      <c r="N146" s="17"/>
      <c r="O146" s="45" t="s">
        <v>85</v>
      </c>
    </row>
    <row r="147" spans="1:15" x14ac:dyDescent="0.2">
      <c r="A147" s="40"/>
      <c r="B147" s="40"/>
      <c r="C147" s="40"/>
      <c r="D147" s="40"/>
      <c r="E147" s="40"/>
      <c r="F147" s="40"/>
      <c r="G147" s="40"/>
      <c r="H147" s="41"/>
      <c r="I147" s="42"/>
      <c r="J147" s="40"/>
      <c r="K147" s="40"/>
      <c r="L147" s="40"/>
      <c r="M147" s="43"/>
      <c r="N147" s="43"/>
      <c r="O147" s="44" t="s">
        <v>85</v>
      </c>
    </row>
    <row r="148" spans="1:15" x14ac:dyDescent="0.2">
      <c r="A148" s="11"/>
      <c r="B148" s="11"/>
      <c r="C148" s="11"/>
      <c r="D148" s="11"/>
      <c r="E148" s="11"/>
      <c r="F148" s="11"/>
      <c r="G148" s="11"/>
      <c r="H148" s="12"/>
      <c r="I148" s="13"/>
      <c r="J148" s="11"/>
      <c r="K148" s="11"/>
      <c r="L148" s="11"/>
      <c r="M148" s="17"/>
      <c r="N148" s="17"/>
      <c r="O148" s="45" t="s">
        <v>85</v>
      </c>
    </row>
    <row r="149" spans="1:15" x14ac:dyDescent="0.2">
      <c r="A149" s="40"/>
      <c r="B149" s="40"/>
      <c r="C149" s="40"/>
      <c r="D149" s="40"/>
      <c r="E149" s="40"/>
      <c r="F149" s="40"/>
      <c r="G149" s="40"/>
      <c r="H149" s="41"/>
      <c r="I149" s="42"/>
      <c r="J149" s="40"/>
      <c r="K149" s="40"/>
      <c r="L149" s="40"/>
      <c r="M149" s="43"/>
      <c r="N149" s="43"/>
      <c r="O149" s="44" t="s">
        <v>85</v>
      </c>
    </row>
    <row r="150" spans="1:15" x14ac:dyDescent="0.2">
      <c r="A150" s="11"/>
      <c r="B150" s="11"/>
      <c r="C150" s="11"/>
      <c r="D150" s="11"/>
      <c r="E150" s="11"/>
      <c r="F150" s="11"/>
      <c r="G150" s="11"/>
      <c r="H150" s="12"/>
      <c r="I150" s="13"/>
      <c r="J150" s="11"/>
      <c r="K150" s="11"/>
      <c r="L150" s="11"/>
      <c r="M150" s="17"/>
      <c r="N150" s="17"/>
      <c r="O150" s="45" t="s">
        <v>85</v>
      </c>
    </row>
    <row r="151" spans="1:15" x14ac:dyDescent="0.2">
      <c r="A151" s="40"/>
      <c r="B151" s="40"/>
      <c r="C151" s="40"/>
      <c r="D151" s="40"/>
      <c r="E151" s="40"/>
      <c r="F151" s="40"/>
      <c r="G151" s="40"/>
      <c r="H151" s="41"/>
      <c r="I151" s="42"/>
      <c r="J151" s="40"/>
      <c r="K151" s="40"/>
      <c r="L151" s="40"/>
      <c r="M151" s="43"/>
      <c r="N151" s="43"/>
      <c r="O151" s="44" t="s">
        <v>85</v>
      </c>
    </row>
    <row r="152" spans="1:15" x14ac:dyDescent="0.2">
      <c r="A152" s="11"/>
      <c r="B152" s="11"/>
      <c r="C152" s="11"/>
      <c r="D152" s="11"/>
      <c r="E152" s="11"/>
      <c r="F152" s="11"/>
      <c r="G152" s="11"/>
      <c r="H152" s="12"/>
      <c r="I152" s="13"/>
      <c r="J152" s="11"/>
      <c r="K152" s="11"/>
      <c r="L152" s="11"/>
      <c r="M152" s="17"/>
      <c r="N152" s="17"/>
      <c r="O152" s="45" t="s">
        <v>85</v>
      </c>
    </row>
    <row r="153" spans="1:15" x14ac:dyDescent="0.2">
      <c r="A153" s="40"/>
      <c r="B153" s="40"/>
      <c r="C153" s="40"/>
      <c r="D153" s="40"/>
      <c r="E153" s="40"/>
      <c r="F153" s="40"/>
      <c r="G153" s="40"/>
      <c r="H153" s="41"/>
      <c r="I153" s="42"/>
      <c r="J153" s="40"/>
      <c r="K153" s="40"/>
      <c r="L153" s="40"/>
      <c r="M153" s="43"/>
      <c r="N153" s="43"/>
      <c r="O153" s="44" t="s">
        <v>85</v>
      </c>
    </row>
    <row r="154" spans="1:15" x14ac:dyDescent="0.2">
      <c r="A154" s="11"/>
      <c r="B154" s="11"/>
      <c r="C154" s="11"/>
      <c r="D154" s="11"/>
      <c r="E154" s="11"/>
      <c r="F154" s="11"/>
      <c r="G154" s="11"/>
      <c r="H154" s="12"/>
      <c r="I154" s="13"/>
      <c r="J154" s="11"/>
      <c r="K154" s="11"/>
      <c r="L154" s="11"/>
      <c r="M154" s="17"/>
      <c r="N154" s="17"/>
      <c r="O154" s="45" t="s">
        <v>85</v>
      </c>
    </row>
    <row r="155" spans="1:15" x14ac:dyDescent="0.2">
      <c r="A155" s="40"/>
      <c r="B155" s="40"/>
      <c r="C155" s="40"/>
      <c r="D155" s="40"/>
      <c r="E155" s="40"/>
      <c r="F155" s="40"/>
      <c r="G155" s="40"/>
      <c r="H155" s="41"/>
      <c r="I155" s="42"/>
      <c r="J155" s="40"/>
      <c r="K155" s="40"/>
      <c r="L155" s="40"/>
      <c r="M155" s="43"/>
      <c r="N155" s="43"/>
      <c r="O155" s="44" t="s">
        <v>85</v>
      </c>
    </row>
    <row r="156" spans="1:15" x14ac:dyDescent="0.2">
      <c r="A156" s="11"/>
      <c r="B156" s="11"/>
      <c r="C156" s="11"/>
      <c r="D156" s="11"/>
      <c r="E156" s="11"/>
      <c r="F156" s="11"/>
      <c r="G156" s="11"/>
      <c r="H156" s="12"/>
      <c r="I156" s="13"/>
      <c r="J156" s="11"/>
      <c r="K156" s="11"/>
      <c r="L156" s="11"/>
      <c r="M156" s="17"/>
      <c r="N156" s="17"/>
      <c r="O156" s="45" t="s">
        <v>85</v>
      </c>
    </row>
    <row r="157" spans="1:15" x14ac:dyDescent="0.2">
      <c r="A157" s="40"/>
      <c r="B157" s="40"/>
      <c r="C157" s="40"/>
      <c r="D157" s="40"/>
      <c r="E157" s="40"/>
      <c r="F157" s="40"/>
      <c r="G157" s="40"/>
      <c r="H157" s="41"/>
      <c r="I157" s="42"/>
      <c r="J157" s="40"/>
      <c r="K157" s="40"/>
      <c r="L157" s="40"/>
      <c r="M157" s="43"/>
      <c r="N157" s="43"/>
      <c r="O157" s="44" t="s">
        <v>85</v>
      </c>
    </row>
    <row r="158" spans="1:15" x14ac:dyDescent="0.2">
      <c r="A158" s="11"/>
      <c r="B158" s="11"/>
      <c r="C158" s="11"/>
      <c r="D158" s="11"/>
      <c r="E158" s="11"/>
      <c r="F158" s="11"/>
      <c r="G158" s="11"/>
      <c r="H158" s="12"/>
      <c r="I158" s="13"/>
      <c r="J158" s="11"/>
      <c r="K158" s="11"/>
      <c r="L158" s="11"/>
      <c r="M158" s="17"/>
      <c r="N158" s="17"/>
      <c r="O158" s="45" t="s">
        <v>85</v>
      </c>
    </row>
    <row r="159" spans="1:15" x14ac:dyDescent="0.2">
      <c r="A159" s="40"/>
      <c r="B159" s="40"/>
      <c r="C159" s="40"/>
      <c r="D159" s="40"/>
      <c r="E159" s="40"/>
      <c r="F159" s="40"/>
      <c r="G159" s="40"/>
      <c r="H159" s="41"/>
      <c r="I159" s="42"/>
      <c r="J159" s="40"/>
      <c r="K159" s="40"/>
      <c r="L159" s="40"/>
      <c r="M159" s="43"/>
      <c r="N159" s="43"/>
      <c r="O159" s="44" t="s">
        <v>85</v>
      </c>
    </row>
    <row r="160" spans="1:15" x14ac:dyDescent="0.2">
      <c r="A160" s="11"/>
      <c r="B160" s="11"/>
      <c r="C160" s="11"/>
      <c r="D160" s="11"/>
      <c r="E160" s="11"/>
      <c r="F160" s="11"/>
      <c r="G160" s="11"/>
      <c r="H160" s="12"/>
      <c r="I160" s="13"/>
      <c r="J160" s="11"/>
      <c r="K160" s="11"/>
      <c r="L160" s="11"/>
      <c r="M160" s="17"/>
      <c r="N160" s="17"/>
      <c r="O160" s="45" t="s">
        <v>85</v>
      </c>
    </row>
    <row r="161" spans="1:15" x14ac:dyDescent="0.2">
      <c r="A161" s="40"/>
      <c r="B161" s="40"/>
      <c r="C161" s="40"/>
      <c r="D161" s="40"/>
      <c r="E161" s="40"/>
      <c r="F161" s="40"/>
      <c r="G161" s="40"/>
      <c r="H161" s="41"/>
      <c r="I161" s="42"/>
      <c r="J161" s="40"/>
      <c r="K161" s="40"/>
      <c r="L161" s="40"/>
      <c r="M161" s="43"/>
      <c r="N161" s="43"/>
      <c r="O161" s="44" t="s">
        <v>85</v>
      </c>
    </row>
    <row r="162" spans="1:15" x14ac:dyDescent="0.2">
      <c r="A162" s="11"/>
      <c r="B162" s="11"/>
      <c r="C162" s="11"/>
      <c r="D162" s="11"/>
      <c r="E162" s="11"/>
      <c r="F162" s="11"/>
      <c r="G162" s="11"/>
      <c r="H162" s="12"/>
      <c r="I162" s="13"/>
      <c r="J162" s="11"/>
      <c r="K162" s="11"/>
      <c r="L162" s="11"/>
      <c r="M162" s="17"/>
      <c r="N162" s="17"/>
      <c r="O162" s="45" t="s">
        <v>85</v>
      </c>
    </row>
    <row r="163" spans="1:15" x14ac:dyDescent="0.2">
      <c r="A163" s="40"/>
      <c r="B163" s="40"/>
      <c r="C163" s="40"/>
      <c r="D163" s="40"/>
      <c r="E163" s="40"/>
      <c r="F163" s="40"/>
      <c r="G163" s="40"/>
      <c r="H163" s="41"/>
      <c r="I163" s="42"/>
      <c r="J163" s="40"/>
      <c r="K163" s="40"/>
      <c r="L163" s="40"/>
      <c r="M163" s="43"/>
      <c r="N163" s="43"/>
      <c r="O163" s="44" t="s">
        <v>85</v>
      </c>
    </row>
    <row r="164" spans="1:15" x14ac:dyDescent="0.2">
      <c r="A164" s="11"/>
      <c r="B164" s="11"/>
      <c r="C164" s="11"/>
      <c r="D164" s="11"/>
      <c r="E164" s="11"/>
      <c r="F164" s="11"/>
      <c r="G164" s="11"/>
      <c r="H164" s="12"/>
      <c r="I164" s="13"/>
      <c r="J164" s="11"/>
      <c r="K164" s="11"/>
      <c r="L164" s="11"/>
      <c r="M164" s="17"/>
      <c r="N164" s="17"/>
      <c r="O164" s="45" t="s">
        <v>85</v>
      </c>
    </row>
    <row r="165" spans="1:15" x14ac:dyDescent="0.2">
      <c r="A165" s="40"/>
      <c r="B165" s="40"/>
      <c r="C165" s="40"/>
      <c r="D165" s="40"/>
      <c r="E165" s="40"/>
      <c r="F165" s="40"/>
      <c r="G165" s="40"/>
      <c r="H165" s="41"/>
      <c r="I165" s="42"/>
      <c r="J165" s="40"/>
      <c r="K165" s="40"/>
      <c r="L165" s="40"/>
      <c r="M165" s="43"/>
      <c r="N165" s="43"/>
      <c r="O165" s="44" t="s">
        <v>85</v>
      </c>
    </row>
    <row r="166" spans="1:15" x14ac:dyDescent="0.2">
      <c r="A166" s="11"/>
      <c r="B166" s="11"/>
      <c r="C166" s="11"/>
      <c r="D166" s="11"/>
      <c r="E166" s="11"/>
      <c r="F166" s="11"/>
      <c r="G166" s="11"/>
      <c r="H166" s="12"/>
      <c r="I166" s="13"/>
      <c r="J166" s="11"/>
      <c r="K166" s="11"/>
      <c r="L166" s="11"/>
      <c r="M166" s="17"/>
      <c r="N166" s="17"/>
      <c r="O166" s="45" t="s">
        <v>85</v>
      </c>
    </row>
    <row r="167" spans="1:15" x14ac:dyDescent="0.2">
      <c r="A167" s="40"/>
      <c r="B167" s="40"/>
      <c r="C167" s="40"/>
      <c r="D167" s="40"/>
      <c r="E167" s="40"/>
      <c r="F167" s="40"/>
      <c r="G167" s="40"/>
      <c r="H167" s="41"/>
      <c r="I167" s="42"/>
      <c r="J167" s="40"/>
      <c r="K167" s="40"/>
      <c r="L167" s="40"/>
      <c r="M167" s="43"/>
      <c r="N167" s="43"/>
      <c r="O167" s="44" t="s">
        <v>85</v>
      </c>
    </row>
    <row r="168" spans="1:15" x14ac:dyDescent="0.2">
      <c r="A168" s="11"/>
      <c r="B168" s="11"/>
      <c r="C168" s="11"/>
      <c r="D168" s="11"/>
      <c r="E168" s="11"/>
      <c r="F168" s="11"/>
      <c r="G168" s="11"/>
      <c r="H168" s="12"/>
      <c r="I168" s="13"/>
      <c r="J168" s="11"/>
      <c r="K168" s="11"/>
      <c r="L168" s="11"/>
      <c r="M168" s="17"/>
      <c r="N168" s="17"/>
      <c r="O168" s="45" t="s">
        <v>85</v>
      </c>
    </row>
    <row r="169" spans="1:15" x14ac:dyDescent="0.2">
      <c r="A169" s="40"/>
      <c r="B169" s="40"/>
      <c r="C169" s="40"/>
      <c r="D169" s="40"/>
      <c r="E169" s="40"/>
      <c r="F169" s="40"/>
      <c r="G169" s="40"/>
      <c r="H169" s="41"/>
      <c r="I169" s="42"/>
      <c r="J169" s="40"/>
      <c r="K169" s="40"/>
      <c r="L169" s="40"/>
      <c r="M169" s="43"/>
      <c r="N169" s="43"/>
      <c r="O169" s="44" t="s">
        <v>85</v>
      </c>
    </row>
    <row r="170" spans="1:15" x14ac:dyDescent="0.2">
      <c r="A170" s="11"/>
      <c r="B170" s="11"/>
      <c r="C170" s="11"/>
      <c r="D170" s="11"/>
      <c r="E170" s="11"/>
      <c r="F170" s="11"/>
      <c r="G170" s="11"/>
      <c r="H170" s="12"/>
      <c r="I170" s="13"/>
      <c r="J170" s="11"/>
      <c r="K170" s="11"/>
      <c r="L170" s="11"/>
      <c r="M170" s="17"/>
      <c r="N170" s="17"/>
      <c r="O170" s="45" t="s">
        <v>85</v>
      </c>
    </row>
    <row r="171" spans="1:15" x14ac:dyDescent="0.2">
      <c r="A171" s="40"/>
      <c r="B171" s="40"/>
      <c r="C171" s="40"/>
      <c r="D171" s="40"/>
      <c r="E171" s="40"/>
      <c r="F171" s="40"/>
      <c r="G171" s="40"/>
      <c r="H171" s="41"/>
      <c r="I171" s="42"/>
      <c r="J171" s="40"/>
      <c r="K171" s="40"/>
      <c r="L171" s="40"/>
      <c r="M171" s="43"/>
      <c r="N171" s="43"/>
      <c r="O171" s="44" t="s">
        <v>85</v>
      </c>
    </row>
    <row r="172" spans="1:15" x14ac:dyDescent="0.2">
      <c r="A172" s="11"/>
      <c r="B172" s="11"/>
      <c r="C172" s="11"/>
      <c r="D172" s="11"/>
      <c r="E172" s="11"/>
      <c r="F172" s="11"/>
      <c r="G172" s="11"/>
      <c r="H172" s="12"/>
      <c r="I172" s="13"/>
      <c r="J172" s="11"/>
      <c r="K172" s="11"/>
      <c r="L172" s="11"/>
      <c r="M172" s="17"/>
      <c r="N172" s="17"/>
      <c r="O172" s="45" t="s">
        <v>85</v>
      </c>
    </row>
    <row r="173" spans="1:15" x14ac:dyDescent="0.2">
      <c r="A173" s="40"/>
      <c r="B173" s="40"/>
      <c r="C173" s="40"/>
      <c r="D173" s="40"/>
      <c r="E173" s="40"/>
      <c r="F173" s="40"/>
      <c r="G173" s="40"/>
      <c r="H173" s="41"/>
      <c r="I173" s="42"/>
      <c r="J173" s="40"/>
      <c r="K173" s="40"/>
      <c r="L173" s="40"/>
      <c r="M173" s="43"/>
      <c r="N173" s="43"/>
      <c r="O173" s="44" t="s">
        <v>85</v>
      </c>
    </row>
    <row r="174" spans="1:15" x14ac:dyDescent="0.2">
      <c r="A174" s="11"/>
      <c r="B174" s="11"/>
      <c r="C174" s="11"/>
      <c r="D174" s="11"/>
      <c r="E174" s="11"/>
      <c r="F174" s="11"/>
      <c r="G174" s="11"/>
      <c r="H174" s="12"/>
      <c r="I174" s="13"/>
      <c r="J174" s="11"/>
      <c r="K174" s="11"/>
      <c r="L174" s="11"/>
      <c r="M174" s="17"/>
      <c r="N174" s="17"/>
      <c r="O174" s="45" t="s">
        <v>85</v>
      </c>
    </row>
    <row r="175" spans="1:15" x14ac:dyDescent="0.2">
      <c r="A175" s="40"/>
      <c r="B175" s="40"/>
      <c r="C175" s="40"/>
      <c r="D175" s="40"/>
      <c r="E175" s="40"/>
      <c r="F175" s="40"/>
      <c r="G175" s="40"/>
      <c r="H175" s="41"/>
      <c r="I175" s="42"/>
      <c r="J175" s="40"/>
      <c r="K175" s="40"/>
      <c r="L175" s="40"/>
      <c r="M175" s="43"/>
      <c r="N175" s="43"/>
      <c r="O175" s="44" t="s">
        <v>85</v>
      </c>
    </row>
    <row r="176" spans="1:15" x14ac:dyDescent="0.2">
      <c r="A176" s="11"/>
      <c r="B176" s="11"/>
      <c r="C176" s="11"/>
      <c r="D176" s="11"/>
      <c r="E176" s="11"/>
      <c r="F176" s="11"/>
      <c r="G176" s="11"/>
      <c r="H176" s="12"/>
      <c r="I176" s="13"/>
      <c r="J176" s="11"/>
      <c r="K176" s="11"/>
      <c r="L176" s="11"/>
      <c r="M176" s="17"/>
      <c r="N176" s="17"/>
      <c r="O176" s="45" t="s">
        <v>85</v>
      </c>
    </row>
    <row r="177" spans="1:15" x14ac:dyDescent="0.2">
      <c r="A177" s="40"/>
      <c r="B177" s="40"/>
      <c r="C177" s="40"/>
      <c r="D177" s="40"/>
      <c r="E177" s="40"/>
      <c r="F177" s="40"/>
      <c r="G177" s="40"/>
      <c r="H177" s="41"/>
      <c r="I177" s="42"/>
      <c r="J177" s="40"/>
      <c r="K177" s="40"/>
      <c r="L177" s="40"/>
      <c r="M177" s="43"/>
      <c r="N177" s="43"/>
      <c r="O177" s="44" t="s">
        <v>85</v>
      </c>
    </row>
    <row r="178" spans="1:15" x14ac:dyDescent="0.2">
      <c r="A178" s="11"/>
      <c r="B178" s="11"/>
      <c r="C178" s="11"/>
      <c r="D178" s="11"/>
      <c r="E178" s="11"/>
      <c r="F178" s="11"/>
      <c r="G178" s="11"/>
      <c r="H178" s="12"/>
      <c r="I178" s="13"/>
      <c r="J178" s="11"/>
      <c r="K178" s="11"/>
      <c r="L178" s="11"/>
      <c r="M178" s="17"/>
      <c r="N178" s="17"/>
      <c r="O178" s="45" t="s">
        <v>85</v>
      </c>
    </row>
    <row r="179" spans="1:15" x14ac:dyDescent="0.2">
      <c r="A179" s="40"/>
      <c r="B179" s="40"/>
      <c r="C179" s="40"/>
      <c r="D179" s="40"/>
      <c r="E179" s="40"/>
      <c r="F179" s="40"/>
      <c r="G179" s="40"/>
      <c r="H179" s="41"/>
      <c r="I179" s="42"/>
      <c r="J179" s="40"/>
      <c r="K179" s="40"/>
      <c r="L179" s="40"/>
      <c r="M179" s="43"/>
      <c r="N179" s="43"/>
      <c r="O179" s="44" t="s">
        <v>85</v>
      </c>
    </row>
    <row r="180" spans="1:15" x14ac:dyDescent="0.2">
      <c r="A180" s="11"/>
      <c r="B180" s="11"/>
      <c r="C180" s="11"/>
      <c r="D180" s="11"/>
      <c r="E180" s="11"/>
      <c r="F180" s="11"/>
      <c r="G180" s="11"/>
      <c r="H180" s="12"/>
      <c r="I180" s="13"/>
      <c r="J180" s="11"/>
      <c r="K180" s="11"/>
      <c r="L180" s="11"/>
      <c r="M180" s="17"/>
      <c r="N180" s="17"/>
      <c r="O180" s="45" t="s">
        <v>85</v>
      </c>
    </row>
    <row r="181" spans="1:15" x14ac:dyDescent="0.2">
      <c r="A181" s="40"/>
      <c r="B181" s="40"/>
      <c r="C181" s="40"/>
      <c r="D181" s="40"/>
      <c r="E181" s="40"/>
      <c r="F181" s="40"/>
      <c r="G181" s="40"/>
      <c r="H181" s="41"/>
      <c r="I181" s="42"/>
      <c r="J181" s="40"/>
      <c r="K181" s="40"/>
      <c r="L181" s="40"/>
      <c r="M181" s="43"/>
      <c r="N181" s="43"/>
      <c r="O181" s="44" t="s">
        <v>85</v>
      </c>
    </row>
    <row r="182" spans="1:15" x14ac:dyDescent="0.2">
      <c r="A182" s="11"/>
      <c r="B182" s="11"/>
      <c r="C182" s="11"/>
      <c r="D182" s="11"/>
      <c r="E182" s="11"/>
      <c r="F182" s="11"/>
      <c r="G182" s="11"/>
      <c r="H182" s="12"/>
      <c r="I182" s="13"/>
      <c r="J182" s="11"/>
      <c r="K182" s="11"/>
      <c r="L182" s="11"/>
      <c r="M182" s="17"/>
      <c r="N182" s="17"/>
      <c r="O182" s="45" t="s">
        <v>85</v>
      </c>
    </row>
    <row r="183" spans="1:15" x14ac:dyDescent="0.2">
      <c r="A183" s="40"/>
      <c r="B183" s="40"/>
      <c r="C183" s="40"/>
      <c r="D183" s="40"/>
      <c r="E183" s="40"/>
      <c r="F183" s="40"/>
      <c r="G183" s="40"/>
      <c r="H183" s="41"/>
      <c r="I183" s="42"/>
      <c r="J183" s="40"/>
      <c r="K183" s="40"/>
      <c r="L183" s="40"/>
      <c r="M183" s="43"/>
      <c r="N183" s="43"/>
      <c r="O183" s="44" t="s">
        <v>85</v>
      </c>
    </row>
    <row r="184" spans="1:15" x14ac:dyDescent="0.2">
      <c r="A184" s="11"/>
      <c r="B184" s="11"/>
      <c r="C184" s="11"/>
      <c r="D184" s="11"/>
      <c r="E184" s="11"/>
      <c r="F184" s="11"/>
      <c r="G184" s="11"/>
      <c r="H184" s="12"/>
      <c r="I184" s="13"/>
      <c r="J184" s="11"/>
      <c r="K184" s="11"/>
      <c r="L184" s="11"/>
      <c r="M184" s="17"/>
      <c r="N184" s="17"/>
      <c r="O184" s="45" t="s">
        <v>85</v>
      </c>
    </row>
    <row r="185" spans="1:15" x14ac:dyDescent="0.2">
      <c r="A185" s="40"/>
      <c r="B185" s="40"/>
      <c r="C185" s="40"/>
      <c r="D185" s="40"/>
      <c r="E185" s="40"/>
      <c r="F185" s="40"/>
      <c r="G185" s="40"/>
      <c r="H185" s="41"/>
      <c r="I185" s="42"/>
      <c r="J185" s="40"/>
      <c r="K185" s="40"/>
      <c r="L185" s="40"/>
      <c r="M185" s="43"/>
      <c r="N185" s="43"/>
      <c r="O185" s="44" t="s">
        <v>85</v>
      </c>
    </row>
    <row r="186" spans="1:15" x14ac:dyDescent="0.2">
      <c r="A186" s="11"/>
      <c r="B186" s="11"/>
      <c r="C186" s="11"/>
      <c r="D186" s="11"/>
      <c r="E186" s="11"/>
      <c r="F186" s="11"/>
      <c r="G186" s="11"/>
      <c r="H186" s="12"/>
      <c r="I186" s="13"/>
      <c r="J186" s="11"/>
      <c r="K186" s="11"/>
      <c r="L186" s="11"/>
      <c r="M186" s="17"/>
      <c r="N186" s="17"/>
      <c r="O186" s="45" t="s">
        <v>85</v>
      </c>
    </row>
    <row r="187" spans="1:15" x14ac:dyDescent="0.2">
      <c r="A187" s="40"/>
      <c r="B187" s="40"/>
      <c r="C187" s="40"/>
      <c r="D187" s="40"/>
      <c r="E187" s="40"/>
      <c r="F187" s="40"/>
      <c r="G187" s="40"/>
      <c r="H187" s="41"/>
      <c r="I187" s="42"/>
      <c r="J187" s="40"/>
      <c r="K187" s="40"/>
      <c r="L187" s="40"/>
      <c r="M187" s="43"/>
      <c r="N187" s="43"/>
      <c r="O187" s="44" t="s">
        <v>85</v>
      </c>
    </row>
    <row r="188" spans="1:15" x14ac:dyDescent="0.2">
      <c r="A188" s="11"/>
      <c r="B188" s="11"/>
      <c r="C188" s="11"/>
      <c r="D188" s="11"/>
      <c r="E188" s="11"/>
      <c r="F188" s="11"/>
      <c r="G188" s="11"/>
      <c r="H188" s="12"/>
      <c r="I188" s="13"/>
      <c r="J188" s="11"/>
      <c r="K188" s="11"/>
      <c r="L188" s="11"/>
      <c r="M188" s="17"/>
      <c r="N188" s="17"/>
      <c r="O188" s="45" t="s">
        <v>85</v>
      </c>
    </row>
    <row r="189" spans="1:15" x14ac:dyDescent="0.2">
      <c r="A189" s="40"/>
      <c r="B189" s="40"/>
      <c r="C189" s="40"/>
      <c r="D189" s="40"/>
      <c r="E189" s="40"/>
      <c r="F189" s="40"/>
      <c r="G189" s="40"/>
      <c r="H189" s="41"/>
      <c r="I189" s="42"/>
      <c r="J189" s="40"/>
      <c r="K189" s="40"/>
      <c r="L189" s="40"/>
      <c r="M189" s="43"/>
      <c r="N189" s="43"/>
      <c r="O189" s="44" t="s">
        <v>85</v>
      </c>
    </row>
    <row r="190" spans="1:15" x14ac:dyDescent="0.2">
      <c r="A190" s="11"/>
      <c r="B190" s="11"/>
      <c r="C190" s="11"/>
      <c r="D190" s="11"/>
      <c r="E190" s="11"/>
      <c r="F190" s="11"/>
      <c r="G190" s="11"/>
      <c r="H190" s="12"/>
      <c r="I190" s="13"/>
      <c r="J190" s="11"/>
      <c r="K190" s="11"/>
      <c r="L190" s="11"/>
      <c r="M190" s="17"/>
      <c r="N190" s="17"/>
      <c r="O190" s="45" t="s">
        <v>85</v>
      </c>
    </row>
    <row r="191" spans="1:15" x14ac:dyDescent="0.2">
      <c r="A191" s="40"/>
      <c r="B191" s="40"/>
      <c r="C191" s="40"/>
      <c r="D191" s="40"/>
      <c r="E191" s="40"/>
      <c r="F191" s="40"/>
      <c r="G191" s="40"/>
      <c r="H191" s="41"/>
      <c r="I191" s="42"/>
      <c r="J191" s="40"/>
      <c r="K191" s="40"/>
      <c r="L191" s="40"/>
      <c r="M191" s="43"/>
      <c r="N191" s="43"/>
      <c r="O191" s="44" t="s">
        <v>85</v>
      </c>
    </row>
    <row r="192" spans="1:15" x14ac:dyDescent="0.2">
      <c r="A192" s="11"/>
      <c r="B192" s="11"/>
      <c r="C192" s="11"/>
      <c r="D192" s="11"/>
      <c r="E192" s="11"/>
      <c r="F192" s="11"/>
      <c r="G192" s="11"/>
      <c r="H192" s="12"/>
      <c r="I192" s="13"/>
      <c r="J192" s="11"/>
      <c r="K192" s="11"/>
      <c r="L192" s="11"/>
      <c r="M192" s="17"/>
      <c r="N192" s="17"/>
      <c r="O192" s="45" t="s">
        <v>85</v>
      </c>
    </row>
    <row r="193" spans="1:15" x14ac:dyDescent="0.2">
      <c r="A193" s="40"/>
      <c r="B193" s="40"/>
      <c r="C193" s="40"/>
      <c r="D193" s="40"/>
      <c r="E193" s="40"/>
      <c r="F193" s="40"/>
      <c r="G193" s="40"/>
      <c r="H193" s="41"/>
      <c r="I193" s="42"/>
      <c r="J193" s="40"/>
      <c r="K193" s="40"/>
      <c r="L193" s="40"/>
      <c r="M193" s="43"/>
      <c r="N193" s="43"/>
      <c r="O193" s="44" t="s">
        <v>85</v>
      </c>
    </row>
    <row r="194" spans="1:15" x14ac:dyDescent="0.2">
      <c r="A194" s="11"/>
      <c r="B194" s="11"/>
      <c r="C194" s="11"/>
      <c r="D194" s="11"/>
      <c r="E194" s="11"/>
      <c r="F194" s="11"/>
      <c r="G194" s="11"/>
      <c r="H194" s="12"/>
      <c r="I194" s="13"/>
      <c r="J194" s="11"/>
      <c r="K194" s="11"/>
      <c r="L194" s="11"/>
      <c r="M194" s="17"/>
      <c r="N194" s="17"/>
      <c r="O194" s="45" t="s">
        <v>85</v>
      </c>
    </row>
    <row r="195" spans="1:15" x14ac:dyDescent="0.2">
      <c r="A195" s="40"/>
      <c r="B195" s="40"/>
      <c r="C195" s="40"/>
      <c r="D195" s="40"/>
      <c r="E195" s="40"/>
      <c r="F195" s="40"/>
      <c r="G195" s="40"/>
      <c r="H195" s="41"/>
      <c r="I195" s="42"/>
      <c r="J195" s="40"/>
      <c r="K195" s="40"/>
      <c r="L195" s="40"/>
      <c r="M195" s="43"/>
      <c r="N195" s="43"/>
      <c r="O195" s="44" t="s">
        <v>85</v>
      </c>
    </row>
    <row r="196" spans="1:15" x14ac:dyDescent="0.2">
      <c r="A196" s="11"/>
      <c r="B196" s="11"/>
      <c r="C196" s="11"/>
      <c r="D196" s="11"/>
      <c r="E196" s="11"/>
      <c r="F196" s="11"/>
      <c r="G196" s="11"/>
      <c r="H196" s="12"/>
      <c r="I196" s="13"/>
      <c r="J196" s="11"/>
      <c r="K196" s="11"/>
      <c r="L196" s="11"/>
      <c r="M196" s="17"/>
      <c r="N196" s="17"/>
      <c r="O196" s="45" t="s">
        <v>85</v>
      </c>
    </row>
    <row r="197" spans="1:15" x14ac:dyDescent="0.2">
      <c r="A197" s="40"/>
      <c r="B197" s="40"/>
      <c r="C197" s="40"/>
      <c r="D197" s="40"/>
      <c r="E197" s="40"/>
      <c r="F197" s="40"/>
      <c r="G197" s="40"/>
      <c r="H197" s="41"/>
      <c r="I197" s="42"/>
      <c r="J197" s="40"/>
      <c r="K197" s="40"/>
      <c r="L197" s="40"/>
      <c r="M197" s="43"/>
      <c r="N197" s="43"/>
      <c r="O197" s="44" t="s">
        <v>85</v>
      </c>
    </row>
    <row r="198" spans="1:15" x14ac:dyDescent="0.2">
      <c r="A198" s="11"/>
      <c r="B198" s="11"/>
      <c r="C198" s="11"/>
      <c r="D198" s="11"/>
      <c r="E198" s="11"/>
      <c r="F198" s="11"/>
      <c r="G198" s="11"/>
      <c r="H198" s="12"/>
      <c r="I198" s="13"/>
      <c r="J198" s="11"/>
      <c r="K198" s="11"/>
      <c r="L198" s="11"/>
      <c r="M198" s="17"/>
      <c r="N198" s="17"/>
      <c r="O198" s="45" t="s">
        <v>85</v>
      </c>
    </row>
    <row r="199" spans="1:15" x14ac:dyDescent="0.2">
      <c r="A199" s="40"/>
      <c r="B199" s="40"/>
      <c r="C199" s="40"/>
      <c r="D199" s="40"/>
      <c r="E199" s="40"/>
      <c r="F199" s="40"/>
      <c r="G199" s="40"/>
      <c r="H199" s="41"/>
      <c r="I199" s="42"/>
      <c r="J199" s="40"/>
      <c r="K199" s="40"/>
      <c r="L199" s="40"/>
      <c r="M199" s="43"/>
      <c r="N199" s="43"/>
      <c r="O199" s="44" t="s">
        <v>85</v>
      </c>
    </row>
    <row r="200" spans="1:15" x14ac:dyDescent="0.2">
      <c r="A200" s="11"/>
      <c r="B200" s="11"/>
      <c r="C200" s="11"/>
      <c r="D200" s="11"/>
      <c r="E200" s="11"/>
      <c r="F200" s="11"/>
      <c r="G200" s="11"/>
      <c r="H200" s="12"/>
      <c r="I200" s="13"/>
      <c r="J200" s="11"/>
      <c r="K200" s="11"/>
      <c r="L200" s="11"/>
      <c r="M200" s="17"/>
      <c r="N200" s="17"/>
      <c r="O200" s="45" t="s">
        <v>85</v>
      </c>
    </row>
    <row r="201" spans="1:15" x14ac:dyDescent="0.2">
      <c r="A201" s="40"/>
      <c r="B201" s="40"/>
      <c r="C201" s="40"/>
      <c r="D201" s="40"/>
      <c r="E201" s="40"/>
      <c r="F201" s="40"/>
      <c r="G201" s="40"/>
      <c r="H201" s="41"/>
      <c r="I201" s="42"/>
      <c r="J201" s="40"/>
      <c r="K201" s="40"/>
      <c r="L201" s="40"/>
      <c r="M201" s="43"/>
      <c r="N201" s="43"/>
      <c r="O201" s="44" t="s">
        <v>85</v>
      </c>
    </row>
    <row r="202" spans="1:15" x14ac:dyDescent="0.2">
      <c r="A202" s="11"/>
      <c r="B202" s="11"/>
      <c r="C202" s="11"/>
      <c r="D202" s="11"/>
      <c r="E202" s="11"/>
      <c r="F202" s="11"/>
      <c r="G202" s="11"/>
      <c r="H202" s="12"/>
      <c r="I202" s="13"/>
      <c r="J202" s="11"/>
      <c r="K202" s="11"/>
      <c r="L202" s="11"/>
      <c r="M202" s="17"/>
      <c r="N202" s="17"/>
      <c r="O202" s="45" t="s">
        <v>85</v>
      </c>
    </row>
  </sheetData>
  <mergeCells count="2">
    <mergeCell ref="A1:O1"/>
    <mergeCell ref="Q4:S4"/>
  </mergeCells>
  <conditionalFormatting sqref="J5:J202">
    <cfRule type="cellIs" dxfId="18" priority="1" operator="equal">
      <formula>"Waiting"</formula>
    </cfRule>
    <cfRule type="cellIs" dxfId="17" priority="2" operator="equal">
      <formula>"In Progress"</formula>
    </cfRule>
    <cfRule type="cellIs" dxfId="16" priority="3" operator="equal">
      <formula>"Checking"</formula>
    </cfRule>
    <cfRule type="cellIs" dxfId="15" priority="4" operator="equal">
      <formula>"Done"</formula>
    </cfRule>
    <cfRule type="cellIs" dxfId="14" priority="5" operator="equal">
      <formula>"Blocked"</formula>
    </cfRule>
    <cfRule type="cellIs" dxfId="13" priority="6" operator="equal">
      <formula>"Cancelled"</formula>
    </cfRule>
  </conditionalFormatting>
  <conditionalFormatting sqref="K5:K202">
    <cfRule type="cellIs" dxfId="12" priority="7" operator="equal">
      <formula>"CAD1"</formula>
    </cfRule>
    <cfRule type="cellIs" dxfId="11" priority="8" operator="equal">
      <formula>"CAD2"</formula>
    </cfRule>
    <cfRule type="cellIs" dxfId="10" priority="9" operator="equal">
      <formula>"CAD3"</formula>
    </cfRule>
    <cfRule type="cellIs" dxfId="9" priority="10" operator="equal">
      <formula>"CAD4"</formula>
    </cfRule>
    <cfRule type="cellIs" dxfId="8" priority="11" operator="equal">
      <formula>"CAD5"</formula>
    </cfRule>
    <cfRule type="cellIs" dxfId="7" priority="12" operator="equal">
      <formula>"CAD6"</formula>
    </cfRule>
    <cfRule type="cellIs" dxfId="6" priority="13" operator="equal">
      <formula>"Outsource CAD"</formula>
    </cfRule>
    <cfRule type="cellIs" dxfId="5" priority="14" operator="equal">
      <formula>"Sdesign"</formula>
    </cfRule>
    <cfRule type="cellIs" dxfId="4" priority="15" operator="equal">
      <formula>"Design 2"</formula>
    </cfRule>
  </conditionalFormatting>
  <conditionalFormatting sqref="L5:L202">
    <cfRule type="cellIs" dxfId="3" priority="16" operator="equal">
      <formula>"Urgent"</formula>
    </cfRule>
    <cfRule type="cellIs" dxfId="2" priority="17" operator="equal">
      <formula>"High"</formula>
    </cfRule>
    <cfRule type="cellIs" dxfId="1" priority="18" operator="equal">
      <formula>"Normal"</formula>
    </cfRule>
    <cfRule type="cellIs" dxfId="0" priority="19" operator="equal">
      <formula>"Low"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199"/>
  <sheetViews>
    <sheetView workbookViewId="0">
      <pane ySplit="1" topLeftCell="A2" activePane="bottomLeft" state="frozen"/>
      <selection pane="bottomLeft" activeCell="C6" sqref="C6"/>
    </sheetView>
  </sheetViews>
  <sheetFormatPr defaultRowHeight="14.25" x14ac:dyDescent="0.2"/>
  <cols>
    <col min="1" max="1" width="11.625" style="3" customWidth="1"/>
    <col min="2" max="2" width="13.625" style="3" customWidth="1"/>
    <col min="3" max="3" width="12.625" style="3" customWidth="1"/>
    <col min="4" max="6" width="13.625" style="3" customWidth="1"/>
    <col min="7" max="7" width="11.625" style="3" customWidth="1"/>
    <col min="8" max="8" width="17.625" style="3" customWidth="1"/>
    <col min="9" max="9" width="8.625" style="3" customWidth="1"/>
    <col min="10" max="11" width="12.625" style="3" customWidth="1"/>
    <col min="12" max="12" width="11.625" style="3" customWidth="1"/>
    <col min="13" max="14" width="12.625" style="3" customWidth="1"/>
    <col min="15" max="15" width="11.625" customWidth="1"/>
  </cols>
  <sheetData>
    <row r="1" spans="1:15" ht="33.950000000000003" customHeight="1" x14ac:dyDescent="0.2">
      <c r="A1" s="26" t="s">
        <v>51</v>
      </c>
      <c r="B1" s="9" t="s">
        <v>12</v>
      </c>
      <c r="C1" s="9" t="s">
        <v>40</v>
      </c>
      <c r="D1" s="9" t="s">
        <v>13</v>
      </c>
      <c r="E1" s="9" t="s">
        <v>24</v>
      </c>
      <c r="F1" s="9" t="s">
        <v>25</v>
      </c>
      <c r="G1" s="9" t="s">
        <v>50</v>
      </c>
      <c r="H1" s="9" t="s">
        <v>14</v>
      </c>
      <c r="I1" s="9" t="s">
        <v>15</v>
      </c>
      <c r="J1" s="9" t="s">
        <v>16</v>
      </c>
      <c r="K1" s="9" t="s">
        <v>17</v>
      </c>
      <c r="L1" s="9" t="s">
        <v>11</v>
      </c>
      <c r="M1" s="9" t="s">
        <v>52</v>
      </c>
      <c r="N1" s="9" t="s">
        <v>18</v>
      </c>
      <c r="O1" s="10" t="s">
        <v>84</v>
      </c>
    </row>
    <row r="2" spans="1:15" ht="36" customHeight="1" x14ac:dyDescent="0.2">
      <c r="A2" s="27" t="s">
        <v>54</v>
      </c>
      <c r="B2" s="11" t="s">
        <v>61</v>
      </c>
      <c r="C2" s="11" t="s">
        <v>60</v>
      </c>
      <c r="D2" s="11" t="s">
        <v>65</v>
      </c>
      <c r="E2" s="11" t="s">
        <v>30</v>
      </c>
      <c r="F2" s="11" t="s">
        <v>27</v>
      </c>
      <c r="G2" s="11">
        <v>333333</v>
      </c>
      <c r="H2" s="12" t="s">
        <v>63</v>
      </c>
      <c r="I2" s="13">
        <v>120</v>
      </c>
      <c r="J2" s="14" t="s">
        <v>8</v>
      </c>
      <c r="K2" s="15" t="s">
        <v>43</v>
      </c>
      <c r="L2" s="16" t="s">
        <v>64</v>
      </c>
      <c r="M2" s="17" t="s">
        <v>59</v>
      </c>
      <c r="N2" s="17" t="s">
        <v>66</v>
      </c>
      <c r="O2" s="18" t="s">
        <v>85</v>
      </c>
    </row>
    <row r="3" spans="1:15" ht="36" customHeight="1" x14ac:dyDescent="0.2">
      <c r="A3" s="27" t="s">
        <v>54</v>
      </c>
      <c r="B3" s="11" t="s">
        <v>61</v>
      </c>
      <c r="C3" s="11" t="s">
        <v>60</v>
      </c>
      <c r="D3" s="11" t="s">
        <v>67</v>
      </c>
      <c r="E3" s="11" t="s">
        <v>30</v>
      </c>
      <c r="F3" s="11" t="s">
        <v>27</v>
      </c>
      <c r="G3" s="11">
        <v>333333</v>
      </c>
      <c r="H3" s="12" t="s">
        <v>63</v>
      </c>
      <c r="I3" s="13">
        <v>1</v>
      </c>
      <c r="J3" s="19" t="s">
        <v>4</v>
      </c>
      <c r="K3" s="14" t="s">
        <v>48</v>
      </c>
      <c r="L3" s="20" t="s">
        <v>64</v>
      </c>
      <c r="M3" s="17" t="s">
        <v>59</v>
      </c>
      <c r="N3" s="17" t="s">
        <v>66</v>
      </c>
      <c r="O3" s="18" t="s">
        <v>85</v>
      </c>
    </row>
    <row r="4" spans="1:15" ht="36" customHeight="1" x14ac:dyDescent="0.2">
      <c r="A4" s="27" t="s">
        <v>54</v>
      </c>
      <c r="B4" s="11" t="s">
        <v>68</v>
      </c>
      <c r="C4" s="11" t="s">
        <v>60</v>
      </c>
      <c r="D4" s="11" t="s">
        <v>69</v>
      </c>
      <c r="E4" s="11" t="s">
        <v>34</v>
      </c>
      <c r="F4" s="11" t="s">
        <v>37</v>
      </c>
      <c r="G4" s="11">
        <v>444444</v>
      </c>
      <c r="H4" s="12" t="s">
        <v>70</v>
      </c>
      <c r="I4" s="13">
        <v>1</v>
      </c>
      <c r="J4" s="14" t="s">
        <v>5</v>
      </c>
      <c r="K4" s="19" t="s">
        <v>49</v>
      </c>
      <c r="L4" s="20" t="s">
        <v>71</v>
      </c>
      <c r="M4" s="17" t="s">
        <v>72</v>
      </c>
      <c r="N4" s="17" t="s">
        <v>73</v>
      </c>
      <c r="O4" s="18" t="s">
        <v>85</v>
      </c>
    </row>
    <row r="5" spans="1:15" ht="36" customHeight="1" x14ac:dyDescent="0.2">
      <c r="A5" s="27" t="s">
        <v>54</v>
      </c>
      <c r="B5" s="11" t="s">
        <v>68</v>
      </c>
      <c r="C5" s="11" t="s">
        <v>60</v>
      </c>
      <c r="D5" s="11" t="s">
        <v>69</v>
      </c>
      <c r="E5" s="11" t="s">
        <v>34</v>
      </c>
      <c r="F5" s="11" t="s">
        <v>37</v>
      </c>
      <c r="G5" s="11">
        <v>555555</v>
      </c>
      <c r="H5" s="12" t="s">
        <v>57</v>
      </c>
      <c r="I5" s="13">
        <v>1</v>
      </c>
      <c r="J5" s="21" t="s">
        <v>6</v>
      </c>
      <c r="K5" s="22" t="s">
        <v>49</v>
      </c>
      <c r="L5" s="20" t="s">
        <v>71</v>
      </c>
      <c r="M5" s="17" t="s">
        <v>72</v>
      </c>
      <c r="N5" s="17" t="s">
        <v>73</v>
      </c>
      <c r="O5" s="18" t="s">
        <v>85</v>
      </c>
    </row>
    <row r="6" spans="1:15" ht="36" customHeight="1" x14ac:dyDescent="0.2">
      <c r="A6" s="27" t="s">
        <v>54</v>
      </c>
      <c r="B6" s="11" t="s">
        <v>68</v>
      </c>
      <c r="C6" s="11" t="s">
        <v>60</v>
      </c>
      <c r="D6" s="11" t="s">
        <v>69</v>
      </c>
      <c r="E6" s="11" t="s">
        <v>34</v>
      </c>
      <c r="F6" s="11" t="s">
        <v>37</v>
      </c>
      <c r="G6" s="11">
        <v>666666</v>
      </c>
      <c r="H6" s="12" t="s">
        <v>57</v>
      </c>
      <c r="I6" s="13">
        <v>1</v>
      </c>
      <c r="J6" s="23" t="s">
        <v>7</v>
      </c>
      <c r="K6" s="24" t="s">
        <v>49</v>
      </c>
      <c r="L6" s="25" t="s">
        <v>71</v>
      </c>
      <c r="M6" s="17" t="s">
        <v>72</v>
      </c>
      <c r="N6" s="17" t="s">
        <v>73</v>
      </c>
      <c r="O6" s="18" t="s">
        <v>85</v>
      </c>
    </row>
    <row r="7" spans="1:15" ht="36" customHeight="1" x14ac:dyDescent="0.2">
      <c r="A7" s="27" t="s">
        <v>54</v>
      </c>
      <c r="B7" s="11" t="s">
        <v>61</v>
      </c>
      <c r="C7" s="11" t="s">
        <v>53</v>
      </c>
      <c r="D7" s="11"/>
      <c r="E7" s="11" t="s">
        <v>28</v>
      </c>
      <c r="F7" s="11" t="s">
        <v>35</v>
      </c>
      <c r="G7" s="11">
        <v>333333</v>
      </c>
      <c r="H7" s="12" t="s">
        <v>57</v>
      </c>
      <c r="I7" s="13">
        <v>25</v>
      </c>
      <c r="J7" s="14" t="s">
        <v>36</v>
      </c>
      <c r="K7" s="24" t="s">
        <v>43</v>
      </c>
      <c r="L7" s="25" t="s">
        <v>64</v>
      </c>
      <c r="M7" s="17" t="s">
        <v>72</v>
      </c>
      <c r="N7" s="17" t="s">
        <v>73</v>
      </c>
      <c r="O7" s="18" t="s">
        <v>85</v>
      </c>
    </row>
    <row r="8" spans="1:15" ht="36" customHeight="1" x14ac:dyDescent="0.2">
      <c r="A8" s="27"/>
      <c r="B8" s="11"/>
      <c r="C8" s="11"/>
      <c r="D8" s="11"/>
      <c r="E8" s="11"/>
      <c r="F8" s="11"/>
      <c r="G8" s="11"/>
      <c r="H8" s="12"/>
      <c r="I8" s="13"/>
      <c r="J8" s="23" t="s">
        <v>36</v>
      </c>
      <c r="K8" s="24"/>
      <c r="L8" s="25"/>
      <c r="M8" s="17"/>
      <c r="N8" s="17"/>
      <c r="O8" s="18" t="s">
        <v>85</v>
      </c>
    </row>
    <row r="9" spans="1:15" ht="36" customHeight="1" x14ac:dyDescent="0.2">
      <c r="A9" s="27"/>
      <c r="B9" s="11"/>
      <c r="C9" s="11"/>
      <c r="D9" s="11"/>
      <c r="E9" s="11"/>
      <c r="F9" s="11"/>
      <c r="G9" s="11"/>
      <c r="H9" s="12"/>
      <c r="I9" s="13"/>
      <c r="J9" s="11"/>
      <c r="K9" s="11"/>
      <c r="L9" s="11"/>
      <c r="M9" s="17"/>
      <c r="N9" s="17"/>
      <c r="O9" s="18" t="s">
        <v>85</v>
      </c>
    </row>
    <row r="10" spans="1:15" ht="36" customHeight="1" x14ac:dyDescent="0.2">
      <c r="A10" s="27"/>
      <c r="B10" s="11"/>
      <c r="C10" s="11"/>
      <c r="D10" s="11"/>
      <c r="E10" s="11"/>
      <c r="F10" s="11"/>
      <c r="G10" s="11"/>
      <c r="H10" s="12"/>
      <c r="I10" s="13"/>
      <c r="J10" s="11"/>
      <c r="K10" s="11"/>
      <c r="L10" s="11"/>
      <c r="M10" s="17"/>
      <c r="N10" s="17"/>
      <c r="O10" s="18" t="s">
        <v>85</v>
      </c>
    </row>
    <row r="11" spans="1:15" ht="36" customHeight="1" x14ac:dyDescent="0.2">
      <c r="A11" s="27"/>
      <c r="B11" s="11"/>
      <c r="C11" s="11"/>
      <c r="D11" s="11"/>
      <c r="E11" s="11"/>
      <c r="F11" s="11"/>
      <c r="G11" s="11"/>
      <c r="H11" s="12"/>
      <c r="I11" s="13"/>
      <c r="J11" s="11"/>
      <c r="K11" s="11"/>
      <c r="L11" s="11"/>
      <c r="M11" s="17"/>
      <c r="N11" s="17"/>
      <c r="O11" s="18" t="s">
        <v>85</v>
      </c>
    </row>
    <row r="12" spans="1:15" ht="36" customHeight="1" x14ac:dyDescent="0.2">
      <c r="A12" s="27"/>
      <c r="B12" s="11"/>
      <c r="C12" s="11"/>
      <c r="D12" s="11"/>
      <c r="E12" s="11"/>
      <c r="F12" s="11"/>
      <c r="G12" s="11"/>
      <c r="H12" s="12"/>
      <c r="I12" s="13"/>
      <c r="J12" s="11"/>
      <c r="K12" s="11"/>
      <c r="L12" s="11"/>
      <c r="M12" s="17"/>
      <c r="N12" s="17"/>
      <c r="O12" s="18" t="s">
        <v>85</v>
      </c>
    </row>
    <row r="13" spans="1:15" ht="36" customHeight="1" x14ac:dyDescent="0.2">
      <c r="A13" s="27"/>
      <c r="B13" s="11"/>
      <c r="C13" s="11"/>
      <c r="D13" s="11"/>
      <c r="E13" s="11"/>
      <c r="F13" s="11"/>
      <c r="G13" s="11"/>
      <c r="H13" s="12"/>
      <c r="I13" s="13"/>
      <c r="J13" s="11"/>
      <c r="K13" s="11"/>
      <c r="L13" s="11"/>
      <c r="M13" s="17"/>
      <c r="N13" s="17"/>
      <c r="O13" s="18" t="s">
        <v>85</v>
      </c>
    </row>
    <row r="14" spans="1:15" ht="36" customHeight="1" x14ac:dyDescent="0.2">
      <c r="A14" s="27"/>
      <c r="B14" s="11"/>
      <c r="C14" s="11"/>
      <c r="D14" s="11"/>
      <c r="E14" s="11"/>
      <c r="F14" s="11"/>
      <c r="G14" s="11"/>
      <c r="H14" s="12"/>
      <c r="I14" s="13"/>
      <c r="J14" s="11"/>
      <c r="K14" s="11"/>
      <c r="L14" s="11"/>
      <c r="M14" s="17"/>
      <c r="N14" s="17"/>
      <c r="O14" s="18" t="s">
        <v>85</v>
      </c>
    </row>
    <row r="15" spans="1:15" ht="36" customHeight="1" x14ac:dyDescent="0.2">
      <c r="A15" s="27"/>
      <c r="B15" s="11"/>
      <c r="C15" s="11"/>
      <c r="D15" s="11"/>
      <c r="E15" s="11"/>
      <c r="F15" s="11"/>
      <c r="G15" s="11"/>
      <c r="H15" s="12"/>
      <c r="I15" s="13"/>
      <c r="J15" s="11"/>
      <c r="K15" s="11"/>
      <c r="L15" s="11"/>
      <c r="M15" s="17"/>
      <c r="N15" s="17"/>
      <c r="O15" s="18" t="s">
        <v>85</v>
      </c>
    </row>
    <row r="16" spans="1:15" ht="36" customHeight="1" x14ac:dyDescent="0.2">
      <c r="A16" s="27"/>
      <c r="B16" s="11"/>
      <c r="C16" s="11"/>
      <c r="D16" s="11"/>
      <c r="E16" s="11"/>
      <c r="F16" s="11"/>
      <c r="G16" s="11"/>
      <c r="H16" s="12"/>
      <c r="I16" s="13"/>
      <c r="J16" s="11"/>
      <c r="K16" s="11"/>
      <c r="L16" s="11"/>
      <c r="M16" s="17"/>
      <c r="N16" s="17"/>
      <c r="O16" s="18" t="s">
        <v>85</v>
      </c>
    </row>
    <row r="17" spans="1:15" ht="36" customHeight="1" x14ac:dyDescent="0.2">
      <c r="A17" s="27"/>
      <c r="B17" s="11"/>
      <c r="C17" s="11"/>
      <c r="D17" s="11"/>
      <c r="E17" s="11"/>
      <c r="F17" s="11"/>
      <c r="G17" s="11"/>
      <c r="H17" s="12"/>
      <c r="I17" s="13"/>
      <c r="J17" s="11"/>
      <c r="K17" s="11"/>
      <c r="L17" s="11"/>
      <c r="M17" s="17"/>
      <c r="N17" s="17"/>
      <c r="O17" s="18" t="s">
        <v>85</v>
      </c>
    </row>
    <row r="18" spans="1:15" ht="36" customHeight="1" x14ac:dyDescent="0.2">
      <c r="A18" s="27"/>
      <c r="B18" s="11"/>
      <c r="C18" s="11"/>
      <c r="D18" s="11"/>
      <c r="E18" s="11"/>
      <c r="F18" s="11"/>
      <c r="G18" s="11"/>
      <c r="H18" s="12"/>
      <c r="I18" s="13"/>
      <c r="J18" s="11"/>
      <c r="K18" s="11"/>
      <c r="L18" s="11"/>
      <c r="M18" s="17"/>
      <c r="N18" s="17"/>
      <c r="O18" s="18" t="s">
        <v>85</v>
      </c>
    </row>
    <row r="19" spans="1:15" ht="36" customHeight="1" x14ac:dyDescent="0.2">
      <c r="A19" s="27"/>
      <c r="B19" s="11"/>
      <c r="C19" s="11"/>
      <c r="D19" s="11"/>
      <c r="E19" s="11"/>
      <c r="F19" s="11"/>
      <c r="G19" s="11"/>
      <c r="H19" s="12"/>
      <c r="I19" s="13"/>
      <c r="J19" s="11"/>
      <c r="K19" s="11"/>
      <c r="L19" s="11"/>
      <c r="M19" s="17"/>
      <c r="N19" s="17"/>
      <c r="O19" s="18" t="s">
        <v>85</v>
      </c>
    </row>
    <row r="20" spans="1:15" ht="36" customHeight="1" x14ac:dyDescent="0.2">
      <c r="A20" s="27"/>
      <c r="B20" s="11"/>
      <c r="C20" s="11"/>
      <c r="D20" s="11"/>
      <c r="E20" s="11"/>
      <c r="F20" s="11"/>
      <c r="G20" s="11"/>
      <c r="H20" s="12"/>
      <c r="I20" s="13"/>
      <c r="J20" s="11"/>
      <c r="K20" s="11"/>
      <c r="L20" s="11"/>
      <c r="M20" s="17"/>
      <c r="N20" s="17"/>
      <c r="O20" s="18" t="s">
        <v>85</v>
      </c>
    </row>
    <row r="21" spans="1:15" ht="36" customHeight="1" x14ac:dyDescent="0.2">
      <c r="A21" s="27"/>
      <c r="B21" s="11"/>
      <c r="C21" s="11"/>
      <c r="D21" s="11"/>
      <c r="E21" s="11"/>
      <c r="F21" s="11"/>
      <c r="G21" s="11"/>
      <c r="H21" s="12"/>
      <c r="I21" s="13"/>
      <c r="J21" s="11"/>
      <c r="K21" s="11"/>
      <c r="L21" s="11"/>
      <c r="M21" s="17"/>
      <c r="N21" s="17"/>
      <c r="O21" s="18" t="s">
        <v>85</v>
      </c>
    </row>
    <row r="22" spans="1:15" ht="36" customHeight="1" x14ac:dyDescent="0.2">
      <c r="A22" s="27"/>
      <c r="B22" s="11"/>
      <c r="C22" s="11"/>
      <c r="D22" s="11"/>
      <c r="E22" s="11"/>
      <c r="F22" s="11"/>
      <c r="G22" s="11"/>
      <c r="H22" s="12"/>
      <c r="I22" s="13"/>
      <c r="J22" s="11"/>
      <c r="K22" s="11"/>
      <c r="L22" s="11"/>
      <c r="M22" s="17"/>
      <c r="N22" s="17"/>
      <c r="O22" s="18" t="s">
        <v>85</v>
      </c>
    </row>
    <row r="23" spans="1:15" ht="36" customHeight="1" x14ac:dyDescent="0.2">
      <c r="A23" s="27"/>
      <c r="B23" s="11"/>
      <c r="C23" s="11"/>
      <c r="D23" s="11"/>
      <c r="E23" s="11"/>
      <c r="F23" s="11"/>
      <c r="G23" s="11"/>
      <c r="H23" s="12"/>
      <c r="I23" s="13"/>
      <c r="J23" s="11"/>
      <c r="K23" s="11"/>
      <c r="L23" s="11"/>
      <c r="M23" s="17"/>
      <c r="N23" s="17"/>
      <c r="O23" s="18" t="s">
        <v>85</v>
      </c>
    </row>
    <row r="24" spans="1:15" ht="36" customHeight="1" x14ac:dyDescent="0.2">
      <c r="A24" s="27"/>
      <c r="B24" s="11"/>
      <c r="C24" s="11"/>
      <c r="D24" s="11"/>
      <c r="E24" s="11"/>
      <c r="F24" s="11"/>
      <c r="G24" s="11"/>
      <c r="H24" s="12"/>
      <c r="I24" s="13"/>
      <c r="J24" s="11"/>
      <c r="K24" s="11"/>
      <c r="L24" s="11"/>
      <c r="M24" s="17"/>
      <c r="N24" s="17"/>
      <c r="O24" s="18" t="s">
        <v>85</v>
      </c>
    </row>
    <row r="25" spans="1:15" ht="36" customHeight="1" x14ac:dyDescent="0.2">
      <c r="A25" s="27"/>
      <c r="B25" s="11"/>
      <c r="C25" s="11"/>
      <c r="D25" s="11"/>
      <c r="E25" s="11"/>
      <c r="F25" s="11"/>
      <c r="G25" s="11"/>
      <c r="H25" s="12"/>
      <c r="I25" s="13"/>
      <c r="J25" s="11"/>
      <c r="K25" s="11"/>
      <c r="L25" s="11"/>
      <c r="M25" s="17"/>
      <c r="N25" s="17"/>
      <c r="O25" s="18" t="s">
        <v>85</v>
      </c>
    </row>
    <row r="26" spans="1:15" ht="36" customHeight="1" x14ac:dyDescent="0.2">
      <c r="A26" s="27"/>
      <c r="B26" s="11"/>
      <c r="C26" s="11"/>
      <c r="D26" s="11"/>
      <c r="E26" s="11"/>
      <c r="F26" s="11"/>
      <c r="G26" s="11"/>
      <c r="H26" s="12"/>
      <c r="I26" s="13"/>
      <c r="J26" s="11"/>
      <c r="K26" s="11"/>
      <c r="L26" s="11"/>
      <c r="M26" s="17"/>
      <c r="N26" s="17"/>
      <c r="O26" s="18" t="s">
        <v>85</v>
      </c>
    </row>
    <row r="27" spans="1:15" ht="36" customHeight="1" x14ac:dyDescent="0.2">
      <c r="A27" s="27"/>
      <c r="B27" s="11"/>
      <c r="C27" s="11"/>
      <c r="D27" s="11"/>
      <c r="E27" s="11"/>
      <c r="F27" s="11"/>
      <c r="G27" s="11"/>
      <c r="H27" s="12"/>
      <c r="I27" s="13"/>
      <c r="J27" s="11"/>
      <c r="K27" s="11"/>
      <c r="L27" s="11"/>
      <c r="M27" s="17"/>
      <c r="N27" s="17"/>
      <c r="O27" s="18" t="s">
        <v>85</v>
      </c>
    </row>
    <row r="28" spans="1:15" ht="36" customHeight="1" x14ac:dyDescent="0.2">
      <c r="A28" s="27"/>
      <c r="B28" s="11"/>
      <c r="C28" s="11"/>
      <c r="D28" s="11"/>
      <c r="E28" s="11"/>
      <c r="F28" s="11"/>
      <c r="G28" s="11"/>
      <c r="H28" s="12"/>
      <c r="I28" s="13"/>
      <c r="J28" s="11"/>
      <c r="K28" s="11"/>
      <c r="L28" s="11"/>
      <c r="M28" s="17"/>
      <c r="N28" s="17"/>
      <c r="O28" s="18" t="s">
        <v>85</v>
      </c>
    </row>
    <row r="29" spans="1:15" ht="36" customHeight="1" x14ac:dyDescent="0.2">
      <c r="A29" s="27"/>
      <c r="B29" s="11"/>
      <c r="C29" s="11"/>
      <c r="D29" s="11"/>
      <c r="E29" s="11"/>
      <c r="F29" s="11"/>
      <c r="G29" s="11"/>
      <c r="H29" s="12"/>
      <c r="I29" s="13"/>
      <c r="J29" s="11"/>
      <c r="K29" s="11"/>
      <c r="L29" s="11"/>
      <c r="M29" s="17"/>
      <c r="N29" s="17"/>
      <c r="O29" s="18" t="s">
        <v>85</v>
      </c>
    </row>
    <row r="30" spans="1:15" ht="36" customHeight="1" x14ac:dyDescent="0.2">
      <c r="A30" s="27"/>
      <c r="B30" s="11"/>
      <c r="C30" s="11"/>
      <c r="D30" s="11"/>
      <c r="E30" s="11"/>
      <c r="F30" s="11"/>
      <c r="G30" s="11"/>
      <c r="H30" s="12"/>
      <c r="I30" s="13"/>
      <c r="J30" s="11"/>
      <c r="K30" s="11"/>
      <c r="L30" s="11"/>
      <c r="M30" s="17"/>
      <c r="N30" s="17"/>
      <c r="O30" s="18" t="s">
        <v>85</v>
      </c>
    </row>
    <row r="31" spans="1:15" ht="36" customHeight="1" x14ac:dyDescent="0.2">
      <c r="A31" s="27"/>
      <c r="B31" s="11"/>
      <c r="C31" s="11"/>
      <c r="D31" s="11"/>
      <c r="E31" s="11"/>
      <c r="F31" s="11"/>
      <c r="G31" s="11"/>
      <c r="H31" s="12"/>
      <c r="I31" s="13"/>
      <c r="J31" s="11"/>
      <c r="K31" s="11"/>
      <c r="L31" s="11"/>
      <c r="M31" s="17"/>
      <c r="N31" s="17"/>
      <c r="O31" s="18" t="s">
        <v>85</v>
      </c>
    </row>
    <row r="32" spans="1:15" ht="36" customHeight="1" x14ac:dyDescent="0.2">
      <c r="A32" s="27"/>
      <c r="B32" s="11"/>
      <c r="C32" s="11"/>
      <c r="D32" s="11"/>
      <c r="E32" s="11"/>
      <c r="F32" s="11"/>
      <c r="G32" s="11"/>
      <c r="H32" s="12"/>
      <c r="I32" s="13"/>
      <c r="J32" s="11"/>
      <c r="K32" s="11"/>
      <c r="L32" s="11"/>
      <c r="M32" s="17"/>
      <c r="N32" s="17"/>
      <c r="O32" s="18" t="s">
        <v>85</v>
      </c>
    </row>
    <row r="33" spans="1:15" ht="36" customHeight="1" x14ac:dyDescent="0.2">
      <c r="A33" s="27"/>
      <c r="B33" s="11"/>
      <c r="C33" s="11"/>
      <c r="D33" s="11"/>
      <c r="E33" s="11"/>
      <c r="F33" s="11"/>
      <c r="G33" s="11"/>
      <c r="H33" s="12"/>
      <c r="I33" s="13"/>
      <c r="J33" s="11"/>
      <c r="K33" s="11"/>
      <c r="L33" s="11"/>
      <c r="M33" s="17"/>
      <c r="N33" s="17"/>
      <c r="O33" s="18" t="s">
        <v>85</v>
      </c>
    </row>
    <row r="34" spans="1:15" ht="36" customHeight="1" x14ac:dyDescent="0.2">
      <c r="A34" s="27"/>
      <c r="B34" s="11"/>
      <c r="C34" s="11"/>
      <c r="D34" s="11"/>
      <c r="E34" s="11"/>
      <c r="F34" s="11"/>
      <c r="G34" s="11"/>
      <c r="H34" s="12"/>
      <c r="I34" s="13"/>
      <c r="J34" s="11"/>
      <c r="K34" s="11"/>
      <c r="L34" s="11"/>
      <c r="M34" s="17"/>
      <c r="N34" s="17"/>
      <c r="O34" s="18" t="s">
        <v>85</v>
      </c>
    </row>
    <row r="35" spans="1:15" ht="36" customHeight="1" x14ac:dyDescent="0.2">
      <c r="A35" s="27"/>
      <c r="B35" s="11"/>
      <c r="C35" s="11"/>
      <c r="D35" s="11"/>
      <c r="E35" s="11"/>
      <c r="F35" s="11"/>
      <c r="G35" s="11"/>
      <c r="H35" s="12"/>
      <c r="I35" s="13"/>
      <c r="J35" s="11"/>
      <c r="K35" s="11"/>
      <c r="L35" s="11"/>
      <c r="M35" s="17"/>
      <c r="N35" s="17"/>
      <c r="O35" s="18" t="s">
        <v>85</v>
      </c>
    </row>
    <row r="36" spans="1:15" ht="36" customHeight="1" x14ac:dyDescent="0.2">
      <c r="A36" s="27"/>
      <c r="B36" s="11"/>
      <c r="C36" s="11"/>
      <c r="D36" s="11"/>
      <c r="E36" s="11"/>
      <c r="F36" s="11"/>
      <c r="G36" s="11"/>
      <c r="H36" s="12"/>
      <c r="I36" s="13"/>
      <c r="J36" s="11"/>
      <c r="K36" s="11"/>
      <c r="L36" s="11"/>
      <c r="M36" s="17"/>
      <c r="N36" s="17"/>
      <c r="O36" s="18" t="s">
        <v>85</v>
      </c>
    </row>
    <row r="37" spans="1:15" ht="36" customHeight="1" x14ac:dyDescent="0.2">
      <c r="A37" s="27"/>
      <c r="B37" s="11"/>
      <c r="C37" s="11"/>
      <c r="D37" s="11"/>
      <c r="E37" s="11"/>
      <c r="F37" s="11"/>
      <c r="G37" s="11"/>
      <c r="H37" s="12"/>
      <c r="I37" s="13"/>
      <c r="J37" s="11"/>
      <c r="K37" s="11"/>
      <c r="L37" s="11"/>
      <c r="M37" s="17"/>
      <c r="N37" s="17"/>
      <c r="O37" s="18" t="s">
        <v>85</v>
      </c>
    </row>
    <row r="38" spans="1:15" ht="36" customHeight="1" x14ac:dyDescent="0.2">
      <c r="A38" s="27"/>
      <c r="B38" s="11"/>
      <c r="C38" s="11"/>
      <c r="D38" s="11"/>
      <c r="E38" s="11"/>
      <c r="F38" s="11"/>
      <c r="G38" s="11"/>
      <c r="H38" s="12"/>
      <c r="I38" s="13"/>
      <c r="J38" s="11"/>
      <c r="K38" s="11"/>
      <c r="L38" s="11"/>
      <c r="M38" s="17"/>
      <c r="N38" s="17"/>
      <c r="O38" s="18" t="s">
        <v>85</v>
      </c>
    </row>
    <row r="39" spans="1:15" ht="36" customHeight="1" x14ac:dyDescent="0.2">
      <c r="A39" s="27"/>
      <c r="B39" s="11"/>
      <c r="C39" s="11"/>
      <c r="D39" s="11"/>
      <c r="E39" s="11"/>
      <c r="F39" s="11"/>
      <c r="G39" s="11"/>
      <c r="H39" s="12"/>
      <c r="I39" s="13"/>
      <c r="J39" s="11"/>
      <c r="K39" s="11"/>
      <c r="L39" s="11"/>
      <c r="M39" s="17"/>
      <c r="N39" s="17"/>
      <c r="O39" s="18" t="s">
        <v>85</v>
      </c>
    </row>
    <row r="40" spans="1:15" ht="36" customHeight="1" x14ac:dyDescent="0.2">
      <c r="A40" s="27"/>
      <c r="B40" s="11"/>
      <c r="C40" s="11"/>
      <c r="D40" s="11"/>
      <c r="E40" s="11"/>
      <c r="F40" s="11"/>
      <c r="G40" s="11"/>
      <c r="H40" s="12"/>
      <c r="I40" s="13"/>
      <c r="J40" s="11"/>
      <c r="K40" s="11"/>
      <c r="L40" s="11"/>
      <c r="M40" s="17"/>
      <c r="N40" s="17"/>
      <c r="O40" s="18" t="s">
        <v>85</v>
      </c>
    </row>
    <row r="41" spans="1:15" ht="36" customHeight="1" x14ac:dyDescent="0.2">
      <c r="A41" s="27"/>
      <c r="B41" s="11"/>
      <c r="C41" s="11"/>
      <c r="D41" s="11"/>
      <c r="E41" s="11"/>
      <c r="F41" s="11"/>
      <c r="G41" s="11"/>
      <c r="H41" s="12"/>
      <c r="I41" s="13"/>
      <c r="J41" s="11"/>
      <c r="K41" s="11"/>
      <c r="L41" s="11"/>
      <c r="M41" s="17"/>
      <c r="N41" s="17"/>
      <c r="O41" s="18" t="s">
        <v>85</v>
      </c>
    </row>
    <row r="42" spans="1:15" ht="36" customHeight="1" x14ac:dyDescent="0.2">
      <c r="A42" s="27"/>
      <c r="B42" s="11"/>
      <c r="C42" s="11"/>
      <c r="D42" s="11"/>
      <c r="E42" s="11"/>
      <c r="F42" s="11"/>
      <c r="G42" s="11"/>
      <c r="H42" s="12"/>
      <c r="I42" s="13"/>
      <c r="J42" s="11"/>
      <c r="K42" s="11"/>
      <c r="L42" s="11"/>
      <c r="M42" s="17"/>
      <c r="N42" s="17"/>
      <c r="O42" s="18" t="s">
        <v>85</v>
      </c>
    </row>
    <row r="43" spans="1:15" ht="36" customHeight="1" x14ac:dyDescent="0.2">
      <c r="A43" s="27"/>
      <c r="B43" s="11"/>
      <c r="C43" s="11"/>
      <c r="D43" s="11"/>
      <c r="E43" s="11"/>
      <c r="F43" s="11"/>
      <c r="G43" s="11"/>
      <c r="H43" s="12"/>
      <c r="I43" s="13"/>
      <c r="J43" s="11"/>
      <c r="K43" s="11"/>
      <c r="L43" s="11"/>
      <c r="M43" s="17"/>
      <c r="N43" s="17"/>
      <c r="O43" s="18" t="s">
        <v>85</v>
      </c>
    </row>
    <row r="44" spans="1:15" ht="36" customHeight="1" x14ac:dyDescent="0.2">
      <c r="A44" s="27"/>
      <c r="B44" s="11"/>
      <c r="C44" s="11"/>
      <c r="D44" s="11"/>
      <c r="E44" s="11"/>
      <c r="F44" s="11"/>
      <c r="G44" s="11"/>
      <c r="H44" s="12"/>
      <c r="I44" s="13"/>
      <c r="J44" s="11"/>
      <c r="K44" s="11"/>
      <c r="L44" s="11"/>
      <c r="M44" s="17"/>
      <c r="N44" s="17"/>
      <c r="O44" s="18" t="s">
        <v>85</v>
      </c>
    </row>
    <row r="45" spans="1:15" ht="36" customHeight="1" x14ac:dyDescent="0.2">
      <c r="A45" s="27"/>
      <c r="B45" s="11"/>
      <c r="C45" s="11"/>
      <c r="D45" s="11"/>
      <c r="E45" s="11"/>
      <c r="F45" s="11"/>
      <c r="G45" s="11"/>
      <c r="H45" s="12"/>
      <c r="I45" s="13"/>
      <c r="J45" s="11"/>
      <c r="K45" s="11"/>
      <c r="L45" s="11"/>
      <c r="M45" s="17"/>
      <c r="N45" s="17"/>
      <c r="O45" s="18" t="s">
        <v>85</v>
      </c>
    </row>
    <row r="46" spans="1:15" ht="36" customHeight="1" x14ac:dyDescent="0.2">
      <c r="A46" s="27"/>
      <c r="B46" s="11"/>
      <c r="C46" s="11"/>
      <c r="D46" s="11"/>
      <c r="E46" s="11"/>
      <c r="F46" s="11"/>
      <c r="G46" s="11"/>
      <c r="H46" s="12"/>
      <c r="I46" s="13"/>
      <c r="J46" s="11"/>
      <c r="K46" s="11"/>
      <c r="L46" s="11"/>
      <c r="M46" s="17"/>
      <c r="N46" s="17"/>
      <c r="O46" s="18" t="s">
        <v>85</v>
      </c>
    </row>
    <row r="47" spans="1:15" ht="36" customHeight="1" x14ac:dyDescent="0.2">
      <c r="A47" s="27"/>
      <c r="B47" s="11"/>
      <c r="C47" s="11"/>
      <c r="D47" s="11"/>
      <c r="E47" s="11"/>
      <c r="F47" s="11"/>
      <c r="G47" s="11"/>
      <c r="H47" s="12"/>
      <c r="I47" s="13"/>
      <c r="J47" s="11"/>
      <c r="K47" s="11"/>
      <c r="L47" s="11"/>
      <c r="M47" s="17"/>
      <c r="N47" s="17"/>
      <c r="O47" s="18" t="s">
        <v>85</v>
      </c>
    </row>
    <row r="48" spans="1:15" ht="36" customHeight="1" x14ac:dyDescent="0.2">
      <c r="A48" s="27"/>
      <c r="B48" s="11"/>
      <c r="C48" s="11"/>
      <c r="D48" s="11"/>
      <c r="E48" s="11"/>
      <c r="F48" s="11"/>
      <c r="G48" s="11"/>
      <c r="H48" s="12"/>
      <c r="I48" s="13"/>
      <c r="J48" s="11"/>
      <c r="K48" s="11"/>
      <c r="L48" s="11"/>
      <c r="M48" s="17"/>
      <c r="N48" s="17"/>
      <c r="O48" s="18" t="s">
        <v>85</v>
      </c>
    </row>
    <row r="49" spans="1:15" ht="36" customHeight="1" x14ac:dyDescent="0.2">
      <c r="A49" s="27"/>
      <c r="B49" s="11"/>
      <c r="C49" s="11"/>
      <c r="D49" s="11"/>
      <c r="E49" s="11"/>
      <c r="F49" s="11"/>
      <c r="G49" s="11"/>
      <c r="H49" s="12"/>
      <c r="I49" s="13"/>
      <c r="J49" s="11"/>
      <c r="K49" s="11"/>
      <c r="L49" s="11"/>
      <c r="M49" s="17"/>
      <c r="N49" s="17"/>
      <c r="O49" s="18" t="s">
        <v>85</v>
      </c>
    </row>
    <row r="50" spans="1:15" ht="36" customHeight="1" x14ac:dyDescent="0.2">
      <c r="A50" s="27"/>
      <c r="B50" s="11"/>
      <c r="C50" s="11"/>
      <c r="D50" s="11"/>
      <c r="E50" s="11"/>
      <c r="F50" s="11"/>
      <c r="G50" s="11"/>
      <c r="H50" s="12"/>
      <c r="I50" s="13"/>
      <c r="J50" s="11"/>
      <c r="K50" s="11"/>
      <c r="L50" s="11"/>
      <c r="M50" s="17"/>
      <c r="N50" s="17"/>
      <c r="O50" s="18" t="s">
        <v>85</v>
      </c>
    </row>
    <row r="51" spans="1:15" ht="36" customHeight="1" x14ac:dyDescent="0.2">
      <c r="A51" s="27"/>
      <c r="B51" s="11"/>
      <c r="C51" s="11"/>
      <c r="D51" s="11"/>
      <c r="E51" s="11"/>
      <c r="F51" s="11"/>
      <c r="G51" s="11"/>
      <c r="H51" s="12"/>
      <c r="I51" s="13"/>
      <c r="J51" s="11"/>
      <c r="K51" s="11"/>
      <c r="L51" s="11"/>
      <c r="M51" s="17"/>
      <c r="N51" s="17"/>
      <c r="O51" s="18" t="s">
        <v>85</v>
      </c>
    </row>
    <row r="52" spans="1:15" ht="36" customHeight="1" x14ac:dyDescent="0.2">
      <c r="A52" s="27"/>
      <c r="B52" s="11"/>
      <c r="C52" s="11"/>
      <c r="D52" s="11"/>
      <c r="E52" s="11"/>
      <c r="F52" s="11"/>
      <c r="G52" s="11"/>
      <c r="H52" s="12"/>
      <c r="I52" s="13"/>
      <c r="J52" s="11"/>
      <c r="K52" s="11"/>
      <c r="L52" s="11"/>
      <c r="M52" s="17"/>
      <c r="N52" s="17"/>
      <c r="O52" s="18" t="s">
        <v>85</v>
      </c>
    </row>
    <row r="53" spans="1:15" ht="36" customHeight="1" x14ac:dyDescent="0.2">
      <c r="A53" s="27"/>
      <c r="B53" s="11"/>
      <c r="C53" s="11"/>
      <c r="D53" s="11"/>
      <c r="E53" s="11"/>
      <c r="F53" s="11"/>
      <c r="G53" s="11"/>
      <c r="H53" s="12"/>
      <c r="I53" s="13"/>
      <c r="J53" s="11"/>
      <c r="K53" s="11"/>
      <c r="L53" s="11"/>
      <c r="M53" s="17"/>
      <c r="N53" s="17"/>
      <c r="O53" s="18" t="s">
        <v>85</v>
      </c>
    </row>
    <row r="54" spans="1:15" ht="36" customHeight="1" x14ac:dyDescent="0.2">
      <c r="A54" s="27"/>
      <c r="B54" s="11"/>
      <c r="C54" s="11"/>
      <c r="D54" s="11"/>
      <c r="E54" s="11"/>
      <c r="F54" s="11"/>
      <c r="G54" s="11"/>
      <c r="H54" s="12"/>
      <c r="I54" s="13"/>
      <c r="J54" s="11"/>
      <c r="K54" s="11"/>
      <c r="L54" s="11"/>
      <c r="M54" s="17"/>
      <c r="N54" s="17"/>
      <c r="O54" s="18" t="s">
        <v>85</v>
      </c>
    </row>
    <row r="55" spans="1:15" ht="36" customHeight="1" x14ac:dyDescent="0.2">
      <c r="A55" s="27"/>
      <c r="B55" s="11"/>
      <c r="C55" s="11"/>
      <c r="D55" s="11"/>
      <c r="E55" s="11"/>
      <c r="F55" s="11"/>
      <c r="G55" s="11"/>
      <c r="H55" s="12"/>
      <c r="I55" s="13"/>
      <c r="J55" s="11"/>
      <c r="K55" s="11"/>
      <c r="L55" s="11"/>
      <c r="M55" s="17"/>
      <c r="N55" s="17"/>
      <c r="O55" s="18" t="s">
        <v>85</v>
      </c>
    </row>
    <row r="56" spans="1:15" ht="36" customHeight="1" x14ac:dyDescent="0.2">
      <c r="A56" s="27"/>
      <c r="B56" s="11"/>
      <c r="C56" s="11"/>
      <c r="D56" s="11"/>
      <c r="E56" s="11"/>
      <c r="F56" s="11"/>
      <c r="G56" s="11"/>
      <c r="H56" s="12"/>
      <c r="I56" s="13"/>
      <c r="J56" s="11"/>
      <c r="K56" s="11"/>
      <c r="L56" s="11"/>
      <c r="M56" s="17"/>
      <c r="N56" s="17"/>
      <c r="O56" s="18" t="s">
        <v>85</v>
      </c>
    </row>
    <row r="57" spans="1:15" ht="36" customHeight="1" x14ac:dyDescent="0.2">
      <c r="A57" s="27"/>
      <c r="B57" s="11"/>
      <c r="C57" s="11"/>
      <c r="D57" s="11"/>
      <c r="E57" s="11"/>
      <c r="F57" s="11"/>
      <c r="G57" s="11"/>
      <c r="H57" s="12"/>
      <c r="I57" s="13"/>
      <c r="J57" s="11"/>
      <c r="K57" s="11"/>
      <c r="L57" s="11"/>
      <c r="M57" s="17"/>
      <c r="N57" s="17"/>
      <c r="O57" s="18" t="s">
        <v>85</v>
      </c>
    </row>
    <row r="58" spans="1:15" ht="36" customHeight="1" x14ac:dyDescent="0.2">
      <c r="A58" s="27"/>
      <c r="B58" s="11"/>
      <c r="C58" s="11"/>
      <c r="D58" s="11"/>
      <c r="E58" s="11"/>
      <c r="F58" s="11"/>
      <c r="G58" s="11"/>
      <c r="H58" s="12"/>
      <c r="I58" s="13"/>
      <c r="J58" s="11"/>
      <c r="K58" s="11"/>
      <c r="L58" s="11"/>
      <c r="M58" s="17"/>
      <c r="N58" s="17"/>
      <c r="O58" s="18" t="s">
        <v>85</v>
      </c>
    </row>
    <row r="59" spans="1:15" ht="36" customHeight="1" x14ac:dyDescent="0.2">
      <c r="A59" s="27"/>
      <c r="B59" s="11"/>
      <c r="C59" s="11"/>
      <c r="D59" s="11"/>
      <c r="E59" s="11"/>
      <c r="F59" s="11"/>
      <c r="G59" s="11"/>
      <c r="H59" s="12"/>
      <c r="I59" s="13"/>
      <c r="J59" s="11"/>
      <c r="K59" s="11"/>
      <c r="L59" s="11"/>
      <c r="M59" s="17"/>
      <c r="N59" s="17"/>
      <c r="O59" s="18" t="s">
        <v>85</v>
      </c>
    </row>
    <row r="60" spans="1:15" ht="36" customHeight="1" x14ac:dyDescent="0.2">
      <c r="A60" s="27"/>
      <c r="B60" s="11"/>
      <c r="C60" s="11"/>
      <c r="D60" s="11"/>
      <c r="E60" s="11"/>
      <c r="F60" s="11"/>
      <c r="G60" s="11"/>
      <c r="H60" s="12"/>
      <c r="I60" s="13"/>
      <c r="J60" s="11"/>
      <c r="K60" s="11"/>
      <c r="L60" s="11"/>
      <c r="M60" s="17"/>
      <c r="N60" s="17"/>
      <c r="O60" s="18" t="s">
        <v>85</v>
      </c>
    </row>
    <row r="61" spans="1:15" ht="36" customHeight="1" x14ac:dyDescent="0.2">
      <c r="A61" s="27"/>
      <c r="B61" s="11"/>
      <c r="C61" s="11"/>
      <c r="D61" s="11"/>
      <c r="E61" s="11"/>
      <c r="F61" s="11"/>
      <c r="G61" s="11"/>
      <c r="H61" s="12"/>
      <c r="I61" s="13"/>
      <c r="J61" s="11"/>
      <c r="K61" s="11"/>
      <c r="L61" s="11"/>
      <c r="M61" s="17"/>
      <c r="N61" s="17"/>
      <c r="O61" s="18" t="s">
        <v>85</v>
      </c>
    </row>
    <row r="62" spans="1:15" ht="36" customHeight="1" x14ac:dyDescent="0.2">
      <c r="A62" s="27"/>
      <c r="B62" s="11"/>
      <c r="C62" s="11"/>
      <c r="D62" s="11"/>
      <c r="E62" s="11"/>
      <c r="F62" s="11"/>
      <c r="G62" s="11"/>
      <c r="H62" s="12"/>
      <c r="I62" s="13"/>
      <c r="J62" s="11"/>
      <c r="K62" s="11"/>
      <c r="L62" s="11"/>
      <c r="M62" s="17"/>
      <c r="N62" s="17"/>
      <c r="O62" s="18" t="s">
        <v>85</v>
      </c>
    </row>
    <row r="63" spans="1:15" ht="36" customHeight="1" x14ac:dyDescent="0.2">
      <c r="A63" s="27"/>
      <c r="B63" s="11"/>
      <c r="C63" s="11"/>
      <c r="D63" s="11"/>
      <c r="E63" s="11"/>
      <c r="F63" s="11"/>
      <c r="G63" s="11"/>
      <c r="H63" s="12"/>
      <c r="I63" s="13"/>
      <c r="J63" s="11"/>
      <c r="K63" s="11"/>
      <c r="L63" s="11"/>
      <c r="M63" s="17"/>
      <c r="N63" s="17"/>
      <c r="O63" s="18" t="s">
        <v>85</v>
      </c>
    </row>
    <row r="64" spans="1:15" ht="36" customHeight="1" x14ac:dyDescent="0.2">
      <c r="A64" s="27"/>
      <c r="B64" s="11"/>
      <c r="C64" s="11"/>
      <c r="D64" s="11"/>
      <c r="E64" s="11"/>
      <c r="F64" s="11"/>
      <c r="G64" s="11"/>
      <c r="H64" s="12"/>
      <c r="I64" s="13"/>
      <c r="J64" s="11"/>
      <c r="K64" s="11"/>
      <c r="L64" s="11"/>
      <c r="M64" s="17"/>
      <c r="N64" s="17"/>
      <c r="O64" s="18" t="s">
        <v>85</v>
      </c>
    </row>
    <row r="65" spans="1:15" ht="36" customHeight="1" x14ac:dyDescent="0.2">
      <c r="A65" s="27"/>
      <c r="B65" s="11"/>
      <c r="C65" s="11"/>
      <c r="D65" s="11"/>
      <c r="E65" s="11"/>
      <c r="F65" s="11"/>
      <c r="G65" s="11"/>
      <c r="H65" s="12"/>
      <c r="I65" s="13"/>
      <c r="J65" s="11"/>
      <c r="K65" s="11"/>
      <c r="L65" s="11"/>
      <c r="M65" s="17"/>
      <c r="N65" s="17"/>
      <c r="O65" s="18" t="s">
        <v>85</v>
      </c>
    </row>
    <row r="66" spans="1:15" ht="36" customHeight="1" x14ac:dyDescent="0.2">
      <c r="A66" s="27"/>
      <c r="B66" s="11"/>
      <c r="C66" s="11"/>
      <c r="D66" s="11"/>
      <c r="E66" s="11"/>
      <c r="F66" s="11"/>
      <c r="G66" s="11"/>
      <c r="H66" s="12"/>
      <c r="I66" s="13"/>
      <c r="J66" s="11"/>
      <c r="K66" s="11"/>
      <c r="L66" s="11"/>
      <c r="M66" s="17"/>
      <c r="N66" s="17"/>
      <c r="O66" s="18" t="s">
        <v>85</v>
      </c>
    </row>
    <row r="67" spans="1:15" ht="36" customHeight="1" x14ac:dyDescent="0.2">
      <c r="A67" s="27"/>
      <c r="B67" s="11"/>
      <c r="C67" s="11"/>
      <c r="D67" s="11"/>
      <c r="E67" s="11"/>
      <c r="F67" s="11"/>
      <c r="G67" s="11"/>
      <c r="H67" s="12"/>
      <c r="I67" s="13"/>
      <c r="J67" s="11"/>
      <c r="K67" s="11"/>
      <c r="L67" s="11"/>
      <c r="M67" s="17"/>
      <c r="N67" s="17"/>
      <c r="O67" s="18" t="s">
        <v>85</v>
      </c>
    </row>
    <row r="68" spans="1:15" ht="36" customHeight="1" x14ac:dyDescent="0.2">
      <c r="A68" s="27"/>
      <c r="B68" s="11"/>
      <c r="C68" s="11"/>
      <c r="D68" s="11"/>
      <c r="E68" s="11"/>
      <c r="F68" s="11"/>
      <c r="G68" s="11"/>
      <c r="H68" s="12"/>
      <c r="I68" s="13"/>
      <c r="J68" s="11"/>
      <c r="K68" s="11"/>
      <c r="L68" s="11"/>
      <c r="M68" s="17"/>
      <c r="N68" s="17"/>
      <c r="O68" s="18" t="s">
        <v>85</v>
      </c>
    </row>
    <row r="69" spans="1:15" ht="36" customHeight="1" x14ac:dyDescent="0.2">
      <c r="A69" s="27"/>
      <c r="B69" s="11"/>
      <c r="C69" s="11"/>
      <c r="D69" s="11"/>
      <c r="E69" s="11"/>
      <c r="F69" s="11"/>
      <c r="G69" s="11"/>
      <c r="H69" s="12"/>
      <c r="I69" s="13"/>
      <c r="J69" s="11"/>
      <c r="K69" s="11"/>
      <c r="L69" s="11"/>
      <c r="M69" s="17"/>
      <c r="N69" s="17"/>
      <c r="O69" s="18" t="s">
        <v>85</v>
      </c>
    </row>
    <row r="70" spans="1:15" ht="36" customHeight="1" x14ac:dyDescent="0.2">
      <c r="A70" s="27"/>
      <c r="B70" s="11"/>
      <c r="C70" s="11"/>
      <c r="D70" s="11"/>
      <c r="E70" s="11"/>
      <c r="F70" s="11"/>
      <c r="G70" s="11"/>
      <c r="H70" s="12"/>
      <c r="I70" s="13"/>
      <c r="J70" s="11"/>
      <c r="K70" s="11"/>
      <c r="L70" s="11"/>
      <c r="M70" s="17"/>
      <c r="N70" s="17"/>
      <c r="O70" s="18" t="s">
        <v>85</v>
      </c>
    </row>
    <row r="71" spans="1:15" ht="36" customHeight="1" x14ac:dyDescent="0.2">
      <c r="A71" s="27"/>
      <c r="B71" s="11"/>
      <c r="C71" s="11"/>
      <c r="D71" s="11"/>
      <c r="E71" s="11"/>
      <c r="F71" s="11"/>
      <c r="G71" s="11"/>
      <c r="H71" s="12"/>
      <c r="I71" s="13"/>
      <c r="J71" s="11"/>
      <c r="K71" s="11"/>
      <c r="L71" s="11"/>
      <c r="M71" s="17"/>
      <c r="N71" s="17"/>
      <c r="O71" s="18" t="s">
        <v>85</v>
      </c>
    </row>
    <row r="72" spans="1:15" ht="36" customHeight="1" x14ac:dyDescent="0.2">
      <c r="A72" s="27"/>
      <c r="B72" s="11"/>
      <c r="C72" s="11"/>
      <c r="D72" s="11"/>
      <c r="E72" s="11"/>
      <c r="F72" s="11"/>
      <c r="G72" s="11"/>
      <c r="H72" s="12"/>
      <c r="I72" s="13"/>
      <c r="J72" s="11"/>
      <c r="K72" s="11"/>
      <c r="L72" s="11"/>
      <c r="M72" s="17"/>
      <c r="N72" s="17"/>
      <c r="O72" s="18" t="s">
        <v>85</v>
      </c>
    </row>
    <row r="73" spans="1:15" ht="36" customHeight="1" x14ac:dyDescent="0.2">
      <c r="A73" s="27"/>
      <c r="B73" s="11"/>
      <c r="C73" s="11"/>
      <c r="D73" s="11"/>
      <c r="E73" s="11"/>
      <c r="F73" s="11"/>
      <c r="G73" s="11"/>
      <c r="H73" s="12"/>
      <c r="I73" s="13"/>
      <c r="J73" s="11"/>
      <c r="K73" s="11"/>
      <c r="L73" s="11"/>
      <c r="M73" s="17"/>
      <c r="N73" s="17"/>
      <c r="O73" s="18" t="s">
        <v>85</v>
      </c>
    </row>
    <row r="74" spans="1:15" ht="36" customHeight="1" x14ac:dyDescent="0.2">
      <c r="A74" s="27"/>
      <c r="B74" s="11"/>
      <c r="C74" s="11"/>
      <c r="D74" s="11"/>
      <c r="E74" s="11"/>
      <c r="F74" s="11"/>
      <c r="G74" s="11"/>
      <c r="H74" s="12"/>
      <c r="I74" s="13"/>
      <c r="J74" s="11"/>
      <c r="K74" s="11"/>
      <c r="L74" s="11"/>
      <c r="M74" s="17"/>
      <c r="N74" s="17"/>
      <c r="O74" s="18" t="s">
        <v>85</v>
      </c>
    </row>
    <row r="75" spans="1:15" ht="36" customHeight="1" x14ac:dyDescent="0.2">
      <c r="A75" s="27"/>
      <c r="B75" s="11"/>
      <c r="C75" s="11"/>
      <c r="D75" s="11"/>
      <c r="E75" s="11"/>
      <c r="F75" s="11"/>
      <c r="G75" s="11"/>
      <c r="H75" s="12"/>
      <c r="I75" s="13"/>
      <c r="J75" s="11"/>
      <c r="K75" s="11"/>
      <c r="L75" s="11"/>
      <c r="M75" s="17"/>
      <c r="N75" s="17"/>
      <c r="O75" s="18" t="s">
        <v>85</v>
      </c>
    </row>
    <row r="76" spans="1:15" ht="36" customHeight="1" x14ac:dyDescent="0.2">
      <c r="A76" s="27"/>
      <c r="B76" s="11"/>
      <c r="C76" s="11"/>
      <c r="D76" s="11"/>
      <c r="E76" s="11"/>
      <c r="F76" s="11"/>
      <c r="G76" s="11"/>
      <c r="H76" s="12"/>
      <c r="I76" s="13"/>
      <c r="J76" s="11"/>
      <c r="K76" s="11"/>
      <c r="L76" s="11"/>
      <c r="M76" s="17"/>
      <c r="N76" s="17"/>
      <c r="O76" s="18" t="s">
        <v>85</v>
      </c>
    </row>
    <row r="77" spans="1:15" ht="36" customHeight="1" x14ac:dyDescent="0.2">
      <c r="A77" s="27"/>
      <c r="B77" s="11"/>
      <c r="C77" s="11"/>
      <c r="D77" s="11"/>
      <c r="E77" s="11"/>
      <c r="F77" s="11"/>
      <c r="G77" s="11"/>
      <c r="H77" s="12"/>
      <c r="I77" s="13"/>
      <c r="J77" s="11"/>
      <c r="K77" s="11"/>
      <c r="L77" s="11"/>
      <c r="M77" s="17"/>
      <c r="N77" s="17"/>
      <c r="O77" s="18" t="s">
        <v>85</v>
      </c>
    </row>
    <row r="78" spans="1:15" ht="36" customHeight="1" x14ac:dyDescent="0.2">
      <c r="A78" s="27"/>
      <c r="B78" s="11"/>
      <c r="C78" s="11"/>
      <c r="D78" s="11"/>
      <c r="E78" s="11"/>
      <c r="F78" s="11"/>
      <c r="G78" s="11"/>
      <c r="H78" s="12"/>
      <c r="I78" s="13"/>
      <c r="J78" s="11"/>
      <c r="K78" s="11"/>
      <c r="L78" s="11"/>
      <c r="M78" s="17"/>
      <c r="N78" s="17"/>
      <c r="O78" s="18" t="s">
        <v>85</v>
      </c>
    </row>
    <row r="79" spans="1:15" ht="36" customHeight="1" x14ac:dyDescent="0.2">
      <c r="A79" s="27"/>
      <c r="B79" s="11"/>
      <c r="C79" s="11"/>
      <c r="D79" s="11"/>
      <c r="E79" s="11"/>
      <c r="F79" s="11"/>
      <c r="G79" s="11"/>
      <c r="H79" s="12"/>
      <c r="I79" s="13"/>
      <c r="J79" s="11"/>
      <c r="K79" s="11"/>
      <c r="L79" s="11"/>
      <c r="M79" s="17"/>
      <c r="N79" s="17"/>
      <c r="O79" s="18" t="s">
        <v>85</v>
      </c>
    </row>
    <row r="80" spans="1:15" ht="36" customHeight="1" x14ac:dyDescent="0.2">
      <c r="A80" s="27"/>
      <c r="B80" s="11"/>
      <c r="C80" s="11"/>
      <c r="D80" s="11"/>
      <c r="E80" s="11"/>
      <c r="F80" s="11"/>
      <c r="G80" s="11"/>
      <c r="H80" s="12"/>
      <c r="I80" s="13"/>
      <c r="J80" s="11"/>
      <c r="K80" s="11"/>
      <c r="L80" s="11"/>
      <c r="M80" s="17"/>
      <c r="N80" s="17"/>
      <c r="O80" s="18" t="s">
        <v>85</v>
      </c>
    </row>
    <row r="81" spans="1:15" ht="36" customHeight="1" x14ac:dyDescent="0.2">
      <c r="A81" s="27"/>
      <c r="B81" s="11"/>
      <c r="C81" s="11"/>
      <c r="D81" s="11"/>
      <c r="E81" s="11"/>
      <c r="F81" s="11"/>
      <c r="G81" s="11"/>
      <c r="H81" s="12"/>
      <c r="I81" s="13"/>
      <c r="J81" s="11"/>
      <c r="K81" s="11"/>
      <c r="L81" s="11"/>
      <c r="M81" s="17"/>
      <c r="N81" s="17"/>
      <c r="O81" s="18" t="s">
        <v>85</v>
      </c>
    </row>
    <row r="82" spans="1:15" ht="36" customHeight="1" x14ac:dyDescent="0.2">
      <c r="A82" s="27"/>
      <c r="B82" s="11"/>
      <c r="C82" s="11"/>
      <c r="D82" s="11"/>
      <c r="E82" s="11"/>
      <c r="F82" s="11"/>
      <c r="G82" s="11"/>
      <c r="H82" s="12"/>
      <c r="I82" s="13"/>
      <c r="J82" s="11"/>
      <c r="K82" s="11"/>
      <c r="L82" s="11"/>
      <c r="M82" s="17"/>
      <c r="N82" s="17"/>
      <c r="O82" s="18" t="s">
        <v>85</v>
      </c>
    </row>
    <row r="83" spans="1:15" ht="36" customHeight="1" x14ac:dyDescent="0.2">
      <c r="A83" s="27"/>
      <c r="B83" s="11"/>
      <c r="C83" s="11"/>
      <c r="D83" s="11"/>
      <c r="E83" s="11"/>
      <c r="F83" s="11"/>
      <c r="G83" s="11"/>
      <c r="H83" s="12"/>
      <c r="I83" s="13"/>
      <c r="J83" s="11"/>
      <c r="K83" s="11"/>
      <c r="L83" s="11"/>
      <c r="M83" s="17"/>
      <c r="N83" s="17"/>
      <c r="O83" s="18" t="s">
        <v>85</v>
      </c>
    </row>
    <row r="84" spans="1:15" ht="36" customHeight="1" x14ac:dyDescent="0.2">
      <c r="A84" s="27"/>
      <c r="B84" s="11"/>
      <c r="C84" s="11"/>
      <c r="D84" s="11"/>
      <c r="E84" s="11"/>
      <c r="F84" s="11"/>
      <c r="G84" s="11"/>
      <c r="H84" s="12"/>
      <c r="I84" s="13"/>
      <c r="J84" s="11"/>
      <c r="K84" s="11"/>
      <c r="L84" s="11"/>
      <c r="M84" s="17"/>
      <c r="N84" s="17"/>
      <c r="O84" s="18" t="s">
        <v>85</v>
      </c>
    </row>
    <row r="85" spans="1:15" ht="36" customHeight="1" x14ac:dyDescent="0.2">
      <c r="A85" s="27"/>
      <c r="B85" s="11"/>
      <c r="C85" s="11"/>
      <c r="D85" s="11"/>
      <c r="E85" s="11"/>
      <c r="F85" s="11"/>
      <c r="G85" s="11"/>
      <c r="H85" s="12"/>
      <c r="I85" s="13"/>
      <c r="J85" s="11"/>
      <c r="K85" s="11"/>
      <c r="L85" s="11"/>
      <c r="M85" s="17"/>
      <c r="N85" s="17"/>
      <c r="O85" s="18" t="s">
        <v>85</v>
      </c>
    </row>
    <row r="86" spans="1:15" ht="36" customHeight="1" x14ac:dyDescent="0.2">
      <c r="A86" s="27"/>
      <c r="B86" s="11"/>
      <c r="C86" s="11"/>
      <c r="D86" s="11"/>
      <c r="E86" s="11"/>
      <c r="F86" s="11"/>
      <c r="G86" s="11"/>
      <c r="H86" s="12"/>
      <c r="I86" s="13"/>
      <c r="J86" s="11"/>
      <c r="K86" s="11"/>
      <c r="L86" s="11"/>
      <c r="M86" s="17"/>
      <c r="N86" s="17"/>
      <c r="O86" s="18" t="s">
        <v>85</v>
      </c>
    </row>
    <row r="87" spans="1:15" ht="36" customHeight="1" x14ac:dyDescent="0.2">
      <c r="A87" s="27"/>
      <c r="B87" s="11"/>
      <c r="C87" s="11"/>
      <c r="D87" s="11"/>
      <c r="E87" s="11"/>
      <c r="F87" s="11"/>
      <c r="G87" s="11"/>
      <c r="H87" s="12"/>
      <c r="I87" s="13"/>
      <c r="J87" s="11"/>
      <c r="K87" s="11"/>
      <c r="L87" s="11"/>
      <c r="M87" s="17"/>
      <c r="N87" s="17"/>
      <c r="O87" s="18" t="s">
        <v>85</v>
      </c>
    </row>
    <row r="88" spans="1:15" ht="36" customHeight="1" x14ac:dyDescent="0.2">
      <c r="A88" s="27"/>
      <c r="B88" s="11"/>
      <c r="C88" s="11"/>
      <c r="D88" s="11"/>
      <c r="E88" s="11"/>
      <c r="F88" s="11"/>
      <c r="G88" s="11"/>
      <c r="H88" s="12"/>
      <c r="I88" s="13"/>
      <c r="J88" s="11"/>
      <c r="K88" s="11"/>
      <c r="L88" s="11"/>
      <c r="M88" s="17"/>
      <c r="N88" s="17"/>
      <c r="O88" s="18" t="s">
        <v>85</v>
      </c>
    </row>
    <row r="89" spans="1:15" ht="36" customHeight="1" x14ac:dyDescent="0.2">
      <c r="A89" s="27"/>
      <c r="B89" s="11"/>
      <c r="C89" s="11"/>
      <c r="D89" s="11"/>
      <c r="E89" s="11"/>
      <c r="F89" s="11"/>
      <c r="G89" s="11"/>
      <c r="H89" s="12"/>
      <c r="I89" s="13"/>
      <c r="J89" s="11"/>
      <c r="K89" s="11"/>
      <c r="L89" s="11"/>
      <c r="M89" s="17"/>
      <c r="N89" s="17"/>
      <c r="O89" s="18" t="s">
        <v>85</v>
      </c>
    </row>
    <row r="90" spans="1:15" ht="36" customHeight="1" x14ac:dyDescent="0.2">
      <c r="A90" s="27"/>
      <c r="B90" s="11"/>
      <c r="C90" s="11"/>
      <c r="D90" s="11"/>
      <c r="E90" s="11"/>
      <c r="F90" s="11"/>
      <c r="G90" s="11"/>
      <c r="H90" s="12"/>
      <c r="I90" s="13"/>
      <c r="J90" s="11"/>
      <c r="K90" s="11"/>
      <c r="L90" s="11"/>
      <c r="M90" s="17"/>
      <c r="N90" s="17"/>
      <c r="O90" s="18" t="s">
        <v>85</v>
      </c>
    </row>
    <row r="91" spans="1:15" ht="36" customHeight="1" x14ac:dyDescent="0.2">
      <c r="A91" s="27"/>
      <c r="B91" s="11"/>
      <c r="C91" s="11"/>
      <c r="D91" s="11"/>
      <c r="E91" s="11"/>
      <c r="F91" s="11"/>
      <c r="G91" s="11"/>
      <c r="H91" s="12"/>
      <c r="I91" s="13"/>
      <c r="J91" s="11"/>
      <c r="K91" s="11"/>
      <c r="L91" s="11"/>
      <c r="M91" s="17"/>
      <c r="N91" s="17"/>
      <c r="O91" s="18" t="s">
        <v>85</v>
      </c>
    </row>
    <row r="92" spans="1:15" ht="36" customHeight="1" x14ac:dyDescent="0.2">
      <c r="A92" s="27"/>
      <c r="B92" s="11"/>
      <c r="C92" s="11"/>
      <c r="D92" s="11"/>
      <c r="E92" s="11"/>
      <c r="F92" s="11"/>
      <c r="G92" s="11"/>
      <c r="H92" s="12"/>
      <c r="I92" s="13"/>
      <c r="J92" s="11"/>
      <c r="K92" s="11"/>
      <c r="L92" s="11"/>
      <c r="M92" s="17"/>
      <c r="N92" s="17"/>
      <c r="O92" s="18" t="s">
        <v>85</v>
      </c>
    </row>
    <row r="93" spans="1:15" ht="36" customHeight="1" x14ac:dyDescent="0.2">
      <c r="A93" s="27"/>
      <c r="B93" s="11"/>
      <c r="C93" s="11"/>
      <c r="D93" s="11"/>
      <c r="E93" s="11"/>
      <c r="F93" s="11"/>
      <c r="G93" s="11"/>
      <c r="H93" s="12"/>
      <c r="I93" s="13"/>
      <c r="J93" s="11"/>
      <c r="K93" s="11"/>
      <c r="L93" s="11"/>
      <c r="M93" s="17"/>
      <c r="N93" s="17"/>
      <c r="O93" s="18" t="s">
        <v>85</v>
      </c>
    </row>
    <row r="94" spans="1:15" ht="36" customHeight="1" x14ac:dyDescent="0.2">
      <c r="A94" s="27"/>
      <c r="B94" s="11"/>
      <c r="C94" s="11"/>
      <c r="D94" s="11"/>
      <c r="E94" s="11"/>
      <c r="F94" s="11"/>
      <c r="G94" s="11"/>
      <c r="H94" s="12"/>
      <c r="I94" s="13"/>
      <c r="J94" s="11"/>
      <c r="K94" s="11"/>
      <c r="L94" s="11"/>
      <c r="M94" s="17"/>
      <c r="N94" s="17"/>
      <c r="O94" s="18" t="s">
        <v>85</v>
      </c>
    </row>
    <row r="95" spans="1:15" ht="36" customHeight="1" x14ac:dyDescent="0.2">
      <c r="A95" s="27"/>
      <c r="B95" s="11"/>
      <c r="C95" s="11"/>
      <c r="D95" s="11"/>
      <c r="E95" s="11"/>
      <c r="F95" s="11"/>
      <c r="G95" s="11"/>
      <c r="H95" s="12"/>
      <c r="I95" s="13"/>
      <c r="J95" s="11"/>
      <c r="K95" s="11"/>
      <c r="L95" s="11"/>
      <c r="M95" s="17"/>
      <c r="N95" s="17"/>
      <c r="O95" s="18" t="s">
        <v>85</v>
      </c>
    </row>
    <row r="96" spans="1:15" ht="36" customHeight="1" x14ac:dyDescent="0.2">
      <c r="A96" s="27"/>
      <c r="B96" s="11"/>
      <c r="C96" s="11"/>
      <c r="D96" s="11"/>
      <c r="E96" s="11"/>
      <c r="F96" s="11"/>
      <c r="G96" s="11"/>
      <c r="H96" s="12"/>
      <c r="I96" s="13"/>
      <c r="J96" s="11"/>
      <c r="K96" s="11"/>
      <c r="L96" s="11"/>
      <c r="M96" s="17"/>
      <c r="N96" s="17"/>
      <c r="O96" s="18" t="s">
        <v>85</v>
      </c>
    </row>
    <row r="97" spans="1:15" ht="36" customHeight="1" x14ac:dyDescent="0.2">
      <c r="A97" s="27"/>
      <c r="B97" s="11"/>
      <c r="C97" s="11"/>
      <c r="D97" s="11"/>
      <c r="E97" s="11"/>
      <c r="F97" s="11"/>
      <c r="G97" s="11"/>
      <c r="H97" s="12"/>
      <c r="I97" s="13"/>
      <c r="J97" s="11"/>
      <c r="K97" s="11"/>
      <c r="L97" s="11"/>
      <c r="M97" s="17"/>
      <c r="N97" s="17"/>
      <c r="O97" s="18" t="s">
        <v>85</v>
      </c>
    </row>
    <row r="98" spans="1:15" ht="36" customHeight="1" x14ac:dyDescent="0.2">
      <c r="A98" s="27"/>
      <c r="B98" s="11"/>
      <c r="C98" s="11"/>
      <c r="D98" s="11"/>
      <c r="E98" s="11"/>
      <c r="F98" s="11"/>
      <c r="G98" s="11"/>
      <c r="H98" s="12"/>
      <c r="I98" s="13"/>
      <c r="J98" s="11"/>
      <c r="K98" s="11"/>
      <c r="L98" s="11"/>
      <c r="M98" s="17"/>
      <c r="N98" s="17"/>
      <c r="O98" s="18" t="s">
        <v>85</v>
      </c>
    </row>
    <row r="99" spans="1:15" ht="36" customHeight="1" x14ac:dyDescent="0.2">
      <c r="A99" s="27"/>
      <c r="B99" s="11"/>
      <c r="C99" s="11"/>
      <c r="D99" s="11"/>
      <c r="E99" s="11"/>
      <c r="F99" s="11"/>
      <c r="G99" s="11"/>
      <c r="H99" s="12"/>
      <c r="I99" s="13"/>
      <c r="J99" s="11"/>
      <c r="K99" s="11"/>
      <c r="L99" s="11"/>
      <c r="M99" s="17"/>
      <c r="N99" s="17"/>
      <c r="O99" s="18" t="s">
        <v>85</v>
      </c>
    </row>
    <row r="100" spans="1:15" ht="36" customHeight="1" x14ac:dyDescent="0.2">
      <c r="A100" s="27"/>
      <c r="B100" s="11"/>
      <c r="C100" s="11"/>
      <c r="D100" s="11"/>
      <c r="E100" s="11"/>
      <c r="F100" s="11"/>
      <c r="G100" s="11"/>
      <c r="H100" s="12"/>
      <c r="I100" s="13"/>
      <c r="J100" s="11"/>
      <c r="K100" s="11"/>
      <c r="L100" s="11"/>
      <c r="M100" s="17"/>
      <c r="N100" s="17"/>
      <c r="O100" s="18" t="s">
        <v>85</v>
      </c>
    </row>
    <row r="101" spans="1:15" ht="36" customHeight="1" x14ac:dyDescent="0.2">
      <c r="A101" s="27"/>
      <c r="B101" s="11"/>
      <c r="C101" s="11"/>
      <c r="D101" s="11"/>
      <c r="E101" s="11"/>
      <c r="F101" s="11"/>
      <c r="G101" s="11"/>
      <c r="H101" s="12"/>
      <c r="I101" s="13"/>
      <c r="J101" s="11"/>
      <c r="K101" s="11"/>
      <c r="L101" s="11"/>
      <c r="M101" s="17"/>
      <c r="N101" s="17"/>
      <c r="O101" s="18" t="s">
        <v>85</v>
      </c>
    </row>
    <row r="102" spans="1:15" ht="36" customHeight="1" x14ac:dyDescent="0.2">
      <c r="A102" s="27"/>
      <c r="B102" s="11"/>
      <c r="C102" s="11"/>
      <c r="D102" s="11"/>
      <c r="E102" s="11"/>
      <c r="F102" s="11"/>
      <c r="G102" s="11"/>
      <c r="H102" s="12"/>
      <c r="I102" s="13"/>
      <c r="J102" s="11"/>
      <c r="K102" s="11"/>
      <c r="L102" s="11"/>
      <c r="M102" s="17"/>
      <c r="N102" s="17"/>
      <c r="O102" s="18" t="s">
        <v>85</v>
      </c>
    </row>
    <row r="103" spans="1:15" ht="36" customHeight="1" x14ac:dyDescent="0.2">
      <c r="A103" s="27"/>
      <c r="B103" s="11"/>
      <c r="C103" s="11"/>
      <c r="D103" s="11"/>
      <c r="E103" s="11"/>
      <c r="F103" s="11"/>
      <c r="G103" s="11"/>
      <c r="H103" s="12"/>
      <c r="I103" s="13"/>
      <c r="J103" s="11"/>
      <c r="K103" s="11"/>
      <c r="L103" s="11"/>
      <c r="M103" s="17"/>
      <c r="N103" s="17"/>
      <c r="O103" s="18" t="s">
        <v>85</v>
      </c>
    </row>
    <row r="104" spans="1:15" ht="36" customHeight="1" x14ac:dyDescent="0.2">
      <c r="A104" s="27"/>
      <c r="B104" s="11"/>
      <c r="C104" s="11"/>
      <c r="D104" s="11"/>
      <c r="E104" s="11"/>
      <c r="F104" s="11"/>
      <c r="G104" s="11"/>
      <c r="H104" s="12"/>
      <c r="I104" s="13"/>
      <c r="J104" s="11"/>
      <c r="K104" s="11"/>
      <c r="L104" s="11"/>
      <c r="M104" s="17"/>
      <c r="N104" s="17"/>
      <c r="O104" s="18" t="s">
        <v>85</v>
      </c>
    </row>
    <row r="105" spans="1:15" ht="36" customHeight="1" x14ac:dyDescent="0.2">
      <c r="A105" s="27"/>
      <c r="B105" s="11"/>
      <c r="C105" s="11"/>
      <c r="D105" s="11"/>
      <c r="E105" s="11"/>
      <c r="F105" s="11"/>
      <c r="G105" s="11"/>
      <c r="H105" s="12"/>
      <c r="I105" s="13"/>
      <c r="J105" s="11"/>
      <c r="K105" s="11"/>
      <c r="L105" s="11"/>
      <c r="M105" s="17"/>
      <c r="N105" s="17"/>
      <c r="O105" s="18" t="s">
        <v>85</v>
      </c>
    </row>
    <row r="106" spans="1:15" ht="36" customHeight="1" x14ac:dyDescent="0.2">
      <c r="A106" s="27"/>
      <c r="B106" s="11"/>
      <c r="C106" s="11"/>
      <c r="D106" s="11"/>
      <c r="E106" s="11"/>
      <c r="F106" s="11"/>
      <c r="G106" s="11"/>
      <c r="H106" s="12"/>
      <c r="I106" s="13"/>
      <c r="J106" s="11"/>
      <c r="K106" s="11"/>
      <c r="L106" s="11"/>
      <c r="M106" s="17"/>
      <c r="N106" s="17"/>
      <c r="O106" s="18" t="s">
        <v>85</v>
      </c>
    </row>
    <row r="107" spans="1:15" ht="36" customHeight="1" x14ac:dyDescent="0.2">
      <c r="A107" s="27"/>
      <c r="B107" s="11"/>
      <c r="C107" s="11"/>
      <c r="D107" s="11"/>
      <c r="E107" s="11"/>
      <c r="F107" s="11"/>
      <c r="G107" s="11"/>
      <c r="H107" s="12"/>
      <c r="I107" s="13"/>
      <c r="J107" s="11"/>
      <c r="K107" s="11"/>
      <c r="L107" s="11"/>
      <c r="M107" s="17"/>
      <c r="N107" s="17"/>
      <c r="O107" s="18" t="s">
        <v>85</v>
      </c>
    </row>
    <row r="108" spans="1:15" ht="36" customHeight="1" x14ac:dyDescent="0.2">
      <c r="A108" s="27"/>
      <c r="B108" s="11"/>
      <c r="C108" s="11"/>
      <c r="D108" s="11"/>
      <c r="E108" s="11"/>
      <c r="F108" s="11"/>
      <c r="G108" s="11"/>
      <c r="H108" s="12"/>
      <c r="I108" s="13"/>
      <c r="J108" s="11"/>
      <c r="K108" s="11"/>
      <c r="L108" s="11"/>
      <c r="M108" s="17"/>
      <c r="N108" s="17"/>
      <c r="O108" s="18" t="s">
        <v>85</v>
      </c>
    </row>
    <row r="109" spans="1:15" ht="36" customHeight="1" x14ac:dyDescent="0.2">
      <c r="A109" s="27"/>
      <c r="B109" s="11"/>
      <c r="C109" s="11"/>
      <c r="D109" s="11"/>
      <c r="E109" s="11"/>
      <c r="F109" s="11"/>
      <c r="G109" s="11"/>
      <c r="H109" s="12"/>
      <c r="I109" s="13"/>
      <c r="J109" s="11"/>
      <c r="K109" s="11"/>
      <c r="L109" s="11"/>
      <c r="M109" s="17"/>
      <c r="N109" s="17"/>
      <c r="O109" s="18" t="s">
        <v>85</v>
      </c>
    </row>
    <row r="110" spans="1:15" ht="36" customHeight="1" x14ac:dyDescent="0.2">
      <c r="A110" s="27"/>
      <c r="B110" s="11"/>
      <c r="C110" s="11"/>
      <c r="D110" s="11"/>
      <c r="E110" s="11"/>
      <c r="F110" s="11"/>
      <c r="G110" s="11"/>
      <c r="H110" s="12"/>
      <c r="I110" s="13"/>
      <c r="J110" s="11"/>
      <c r="K110" s="11"/>
      <c r="L110" s="11"/>
      <c r="M110" s="17"/>
      <c r="N110" s="17"/>
      <c r="O110" s="18" t="s">
        <v>85</v>
      </c>
    </row>
    <row r="111" spans="1:15" ht="36" customHeight="1" x14ac:dyDescent="0.2">
      <c r="A111" s="27"/>
      <c r="B111" s="11"/>
      <c r="C111" s="11"/>
      <c r="D111" s="11"/>
      <c r="E111" s="11"/>
      <c r="F111" s="11"/>
      <c r="G111" s="11"/>
      <c r="H111" s="12"/>
      <c r="I111" s="13"/>
      <c r="J111" s="11"/>
      <c r="K111" s="11"/>
      <c r="L111" s="11"/>
      <c r="M111" s="17"/>
      <c r="N111" s="17"/>
      <c r="O111" s="18" t="s">
        <v>85</v>
      </c>
    </row>
    <row r="112" spans="1:15" ht="36" customHeight="1" x14ac:dyDescent="0.2">
      <c r="A112" s="27"/>
      <c r="B112" s="11"/>
      <c r="C112" s="11"/>
      <c r="D112" s="11"/>
      <c r="E112" s="11"/>
      <c r="F112" s="11"/>
      <c r="G112" s="11"/>
      <c r="H112" s="12"/>
      <c r="I112" s="13"/>
      <c r="J112" s="11"/>
      <c r="K112" s="11"/>
      <c r="L112" s="11"/>
      <c r="M112" s="17"/>
      <c r="N112" s="17"/>
      <c r="O112" s="18" t="s">
        <v>85</v>
      </c>
    </row>
    <row r="113" spans="1:15" ht="36" customHeight="1" x14ac:dyDescent="0.2">
      <c r="A113" s="27"/>
      <c r="B113" s="11"/>
      <c r="C113" s="11"/>
      <c r="D113" s="11"/>
      <c r="E113" s="11"/>
      <c r="F113" s="11"/>
      <c r="G113" s="11"/>
      <c r="H113" s="12"/>
      <c r="I113" s="13"/>
      <c r="J113" s="11"/>
      <c r="K113" s="11"/>
      <c r="L113" s="11"/>
      <c r="M113" s="17"/>
      <c r="N113" s="17"/>
      <c r="O113" s="18" t="s">
        <v>85</v>
      </c>
    </row>
    <row r="114" spans="1:15" ht="36" customHeight="1" x14ac:dyDescent="0.2">
      <c r="A114" s="27"/>
      <c r="B114" s="11"/>
      <c r="C114" s="11"/>
      <c r="D114" s="11"/>
      <c r="E114" s="11"/>
      <c r="F114" s="11"/>
      <c r="G114" s="11"/>
      <c r="H114" s="12"/>
      <c r="I114" s="13"/>
      <c r="J114" s="11"/>
      <c r="K114" s="11"/>
      <c r="L114" s="11"/>
      <c r="M114" s="17"/>
      <c r="N114" s="17"/>
      <c r="O114" s="18" t="s">
        <v>85</v>
      </c>
    </row>
    <row r="115" spans="1:15" ht="36" customHeight="1" x14ac:dyDescent="0.2">
      <c r="A115" s="27"/>
      <c r="B115" s="11"/>
      <c r="C115" s="11"/>
      <c r="D115" s="11"/>
      <c r="E115" s="11"/>
      <c r="F115" s="11"/>
      <c r="G115" s="11"/>
      <c r="H115" s="12"/>
      <c r="I115" s="13"/>
      <c r="J115" s="11"/>
      <c r="K115" s="11"/>
      <c r="L115" s="11"/>
      <c r="M115" s="17"/>
      <c r="N115" s="17"/>
      <c r="O115" s="18" t="s">
        <v>85</v>
      </c>
    </row>
    <row r="116" spans="1:15" ht="36" customHeight="1" x14ac:dyDescent="0.2">
      <c r="A116" s="27"/>
      <c r="B116" s="11"/>
      <c r="C116" s="11"/>
      <c r="D116" s="11"/>
      <c r="E116" s="11"/>
      <c r="F116" s="11"/>
      <c r="G116" s="11"/>
      <c r="H116" s="12"/>
      <c r="I116" s="13"/>
      <c r="J116" s="11"/>
      <c r="K116" s="11"/>
      <c r="L116" s="11"/>
      <c r="M116" s="17"/>
      <c r="N116" s="17"/>
      <c r="O116" s="18" t="s">
        <v>85</v>
      </c>
    </row>
    <row r="117" spans="1:15" ht="36" customHeight="1" x14ac:dyDescent="0.2">
      <c r="A117" s="27"/>
      <c r="B117" s="11"/>
      <c r="C117" s="11"/>
      <c r="D117" s="11"/>
      <c r="E117" s="11"/>
      <c r="F117" s="11"/>
      <c r="G117" s="11"/>
      <c r="H117" s="12"/>
      <c r="I117" s="13"/>
      <c r="J117" s="11"/>
      <c r="K117" s="11"/>
      <c r="L117" s="11"/>
      <c r="M117" s="17"/>
      <c r="N117" s="17"/>
      <c r="O117" s="18" t="s">
        <v>85</v>
      </c>
    </row>
    <row r="118" spans="1:15" ht="36" customHeight="1" x14ac:dyDescent="0.2">
      <c r="A118" s="27"/>
      <c r="B118" s="11"/>
      <c r="C118" s="11"/>
      <c r="D118" s="11"/>
      <c r="E118" s="11"/>
      <c r="F118" s="11"/>
      <c r="G118" s="11"/>
      <c r="H118" s="12"/>
      <c r="I118" s="13"/>
      <c r="J118" s="11"/>
      <c r="K118" s="11"/>
      <c r="L118" s="11"/>
      <c r="M118" s="17"/>
      <c r="N118" s="17"/>
      <c r="O118" s="18" t="s">
        <v>85</v>
      </c>
    </row>
    <row r="119" spans="1:15" ht="36" customHeight="1" x14ac:dyDescent="0.2">
      <c r="A119" s="27"/>
      <c r="B119" s="11"/>
      <c r="C119" s="11"/>
      <c r="D119" s="11"/>
      <c r="E119" s="11"/>
      <c r="F119" s="11"/>
      <c r="G119" s="11"/>
      <c r="H119" s="12"/>
      <c r="I119" s="13"/>
      <c r="J119" s="11"/>
      <c r="K119" s="11"/>
      <c r="L119" s="11"/>
      <c r="M119" s="17"/>
      <c r="N119" s="17"/>
      <c r="O119" s="18" t="s">
        <v>85</v>
      </c>
    </row>
    <row r="120" spans="1:15" ht="36" customHeight="1" x14ac:dyDescent="0.2">
      <c r="A120" s="27"/>
      <c r="B120" s="11"/>
      <c r="C120" s="11"/>
      <c r="D120" s="11"/>
      <c r="E120" s="11"/>
      <c r="F120" s="11"/>
      <c r="G120" s="11"/>
      <c r="H120" s="12"/>
      <c r="I120" s="13"/>
      <c r="J120" s="11"/>
      <c r="K120" s="11"/>
      <c r="L120" s="11"/>
      <c r="M120" s="17"/>
      <c r="N120" s="17"/>
      <c r="O120" s="18" t="s">
        <v>85</v>
      </c>
    </row>
    <row r="121" spans="1:15" ht="36" customHeight="1" x14ac:dyDescent="0.2">
      <c r="A121" s="27"/>
      <c r="B121" s="11"/>
      <c r="C121" s="11"/>
      <c r="D121" s="11"/>
      <c r="E121" s="11"/>
      <c r="F121" s="11"/>
      <c r="G121" s="11"/>
      <c r="H121" s="12"/>
      <c r="I121" s="13"/>
      <c r="J121" s="11"/>
      <c r="K121" s="11"/>
      <c r="L121" s="11"/>
      <c r="M121" s="17"/>
      <c r="N121" s="17"/>
      <c r="O121" s="18" t="s">
        <v>85</v>
      </c>
    </row>
    <row r="122" spans="1:15" ht="36" customHeight="1" x14ac:dyDescent="0.2">
      <c r="A122" s="27"/>
      <c r="B122" s="11"/>
      <c r="C122" s="11"/>
      <c r="D122" s="11"/>
      <c r="E122" s="11"/>
      <c r="F122" s="11"/>
      <c r="G122" s="11"/>
      <c r="H122" s="12"/>
      <c r="I122" s="13"/>
      <c r="J122" s="11"/>
      <c r="K122" s="11"/>
      <c r="L122" s="11"/>
      <c r="M122" s="17"/>
      <c r="N122" s="17"/>
      <c r="O122" s="18" t="s">
        <v>85</v>
      </c>
    </row>
    <row r="123" spans="1:15" ht="36" customHeight="1" x14ac:dyDescent="0.2">
      <c r="A123" s="27"/>
      <c r="B123" s="11"/>
      <c r="C123" s="11"/>
      <c r="D123" s="11"/>
      <c r="E123" s="11"/>
      <c r="F123" s="11"/>
      <c r="G123" s="11"/>
      <c r="H123" s="12"/>
      <c r="I123" s="13"/>
      <c r="J123" s="11"/>
      <c r="K123" s="11"/>
      <c r="L123" s="11"/>
      <c r="M123" s="17"/>
      <c r="N123" s="17"/>
      <c r="O123" s="18" t="s">
        <v>85</v>
      </c>
    </row>
    <row r="124" spans="1:15" ht="36" customHeight="1" x14ac:dyDescent="0.2">
      <c r="A124" s="27"/>
      <c r="B124" s="11"/>
      <c r="C124" s="11"/>
      <c r="D124" s="11"/>
      <c r="E124" s="11"/>
      <c r="F124" s="11"/>
      <c r="G124" s="11"/>
      <c r="H124" s="12"/>
      <c r="I124" s="13"/>
      <c r="J124" s="11"/>
      <c r="K124" s="11"/>
      <c r="L124" s="11"/>
      <c r="M124" s="17"/>
      <c r="N124" s="17"/>
      <c r="O124" s="18" t="s">
        <v>85</v>
      </c>
    </row>
    <row r="125" spans="1:15" ht="36" customHeight="1" x14ac:dyDescent="0.2">
      <c r="A125" s="27"/>
      <c r="B125" s="11"/>
      <c r="C125" s="11"/>
      <c r="D125" s="11"/>
      <c r="E125" s="11"/>
      <c r="F125" s="11"/>
      <c r="G125" s="11"/>
      <c r="H125" s="12"/>
      <c r="I125" s="13"/>
      <c r="J125" s="11"/>
      <c r="K125" s="11"/>
      <c r="L125" s="11"/>
      <c r="M125" s="17"/>
      <c r="N125" s="17"/>
      <c r="O125" s="18" t="s">
        <v>85</v>
      </c>
    </row>
    <row r="126" spans="1:15" ht="36" customHeight="1" x14ac:dyDescent="0.2">
      <c r="A126" s="27"/>
      <c r="B126" s="11"/>
      <c r="C126" s="11"/>
      <c r="D126" s="11"/>
      <c r="E126" s="11"/>
      <c r="F126" s="11"/>
      <c r="G126" s="11"/>
      <c r="H126" s="12"/>
      <c r="I126" s="13"/>
      <c r="J126" s="11"/>
      <c r="K126" s="11"/>
      <c r="L126" s="11"/>
      <c r="M126" s="17"/>
      <c r="N126" s="17"/>
      <c r="O126" s="18" t="s">
        <v>85</v>
      </c>
    </row>
    <row r="127" spans="1:15" ht="36" customHeight="1" x14ac:dyDescent="0.2">
      <c r="A127" s="27"/>
      <c r="B127" s="11"/>
      <c r="C127" s="11"/>
      <c r="D127" s="11"/>
      <c r="E127" s="11"/>
      <c r="F127" s="11"/>
      <c r="G127" s="11"/>
      <c r="H127" s="12"/>
      <c r="I127" s="13"/>
      <c r="J127" s="11"/>
      <c r="K127" s="11"/>
      <c r="L127" s="11"/>
      <c r="M127" s="17"/>
      <c r="N127" s="17"/>
      <c r="O127" s="18" t="s">
        <v>85</v>
      </c>
    </row>
    <row r="128" spans="1:15" ht="36" customHeight="1" x14ac:dyDescent="0.2">
      <c r="A128" s="27"/>
      <c r="B128" s="11"/>
      <c r="C128" s="11"/>
      <c r="D128" s="11"/>
      <c r="E128" s="11"/>
      <c r="F128" s="11"/>
      <c r="G128" s="11"/>
      <c r="H128" s="12"/>
      <c r="I128" s="13"/>
      <c r="J128" s="11"/>
      <c r="K128" s="11"/>
      <c r="L128" s="11"/>
      <c r="M128" s="17"/>
      <c r="N128" s="17"/>
      <c r="O128" s="18" t="s">
        <v>85</v>
      </c>
    </row>
    <row r="129" spans="1:15" ht="36" customHeight="1" x14ac:dyDescent="0.2">
      <c r="A129" s="27"/>
      <c r="B129" s="11"/>
      <c r="C129" s="11"/>
      <c r="D129" s="11"/>
      <c r="E129" s="11"/>
      <c r="F129" s="11"/>
      <c r="G129" s="11"/>
      <c r="H129" s="12"/>
      <c r="I129" s="13"/>
      <c r="J129" s="11"/>
      <c r="K129" s="11"/>
      <c r="L129" s="11"/>
      <c r="M129" s="17"/>
      <c r="N129" s="17"/>
      <c r="O129" s="18" t="s">
        <v>85</v>
      </c>
    </row>
    <row r="130" spans="1:15" ht="36" customHeight="1" x14ac:dyDescent="0.2">
      <c r="A130" s="27"/>
      <c r="B130" s="11"/>
      <c r="C130" s="11"/>
      <c r="D130" s="11"/>
      <c r="E130" s="11"/>
      <c r="F130" s="11"/>
      <c r="G130" s="11"/>
      <c r="H130" s="12"/>
      <c r="I130" s="13"/>
      <c r="J130" s="11"/>
      <c r="K130" s="11"/>
      <c r="L130" s="11"/>
      <c r="M130" s="17"/>
      <c r="N130" s="17"/>
      <c r="O130" s="18" t="s">
        <v>85</v>
      </c>
    </row>
    <row r="131" spans="1:15" ht="36" customHeight="1" x14ac:dyDescent="0.2">
      <c r="A131" s="27"/>
      <c r="B131" s="11"/>
      <c r="C131" s="11"/>
      <c r="D131" s="11"/>
      <c r="E131" s="11"/>
      <c r="F131" s="11"/>
      <c r="G131" s="11"/>
      <c r="H131" s="12"/>
      <c r="I131" s="13"/>
      <c r="J131" s="11"/>
      <c r="K131" s="11"/>
      <c r="L131" s="11"/>
      <c r="M131" s="17"/>
      <c r="N131" s="17"/>
      <c r="O131" s="18" t="s">
        <v>85</v>
      </c>
    </row>
    <row r="132" spans="1:15" ht="36" customHeight="1" x14ac:dyDescent="0.2">
      <c r="A132" s="27"/>
      <c r="B132" s="11"/>
      <c r="C132" s="11"/>
      <c r="D132" s="11"/>
      <c r="E132" s="11"/>
      <c r="F132" s="11"/>
      <c r="G132" s="11"/>
      <c r="H132" s="12"/>
      <c r="I132" s="13"/>
      <c r="J132" s="11"/>
      <c r="K132" s="11"/>
      <c r="L132" s="11"/>
      <c r="M132" s="17"/>
      <c r="N132" s="17"/>
      <c r="O132" s="18" t="s">
        <v>85</v>
      </c>
    </row>
    <row r="133" spans="1:15" ht="36" customHeight="1" x14ac:dyDescent="0.2">
      <c r="A133" s="27"/>
      <c r="B133" s="11"/>
      <c r="C133" s="11"/>
      <c r="D133" s="11"/>
      <c r="E133" s="11"/>
      <c r="F133" s="11"/>
      <c r="G133" s="11"/>
      <c r="H133" s="12"/>
      <c r="I133" s="13"/>
      <c r="J133" s="11"/>
      <c r="K133" s="11"/>
      <c r="L133" s="11"/>
      <c r="M133" s="17"/>
      <c r="N133" s="17"/>
      <c r="O133" s="18" t="s">
        <v>85</v>
      </c>
    </row>
    <row r="134" spans="1:15" ht="36" customHeight="1" x14ac:dyDescent="0.2">
      <c r="A134" s="27"/>
      <c r="B134" s="11"/>
      <c r="C134" s="11"/>
      <c r="D134" s="11"/>
      <c r="E134" s="11"/>
      <c r="F134" s="11"/>
      <c r="G134" s="11"/>
      <c r="H134" s="12"/>
      <c r="I134" s="13"/>
      <c r="J134" s="11"/>
      <c r="K134" s="11"/>
      <c r="L134" s="11"/>
      <c r="M134" s="17"/>
      <c r="N134" s="17"/>
      <c r="O134" s="18" t="s">
        <v>85</v>
      </c>
    </row>
    <row r="135" spans="1:15" ht="36" customHeight="1" x14ac:dyDescent="0.2">
      <c r="A135" s="27"/>
      <c r="B135" s="11"/>
      <c r="C135" s="11"/>
      <c r="D135" s="11"/>
      <c r="E135" s="11"/>
      <c r="F135" s="11"/>
      <c r="G135" s="11"/>
      <c r="H135" s="12"/>
      <c r="I135" s="13"/>
      <c r="J135" s="11"/>
      <c r="K135" s="11"/>
      <c r="L135" s="11"/>
      <c r="M135" s="17"/>
      <c r="N135" s="17"/>
      <c r="O135" s="18" t="s">
        <v>85</v>
      </c>
    </row>
    <row r="136" spans="1:15" ht="36" customHeight="1" x14ac:dyDescent="0.2">
      <c r="A136" s="27"/>
      <c r="B136" s="11"/>
      <c r="C136" s="11"/>
      <c r="D136" s="11"/>
      <c r="E136" s="11"/>
      <c r="F136" s="11"/>
      <c r="G136" s="11"/>
      <c r="H136" s="12"/>
      <c r="I136" s="13"/>
      <c r="J136" s="11"/>
      <c r="K136" s="11"/>
      <c r="L136" s="11"/>
      <c r="M136" s="17"/>
      <c r="N136" s="17"/>
      <c r="O136" s="18" t="s">
        <v>85</v>
      </c>
    </row>
    <row r="137" spans="1:15" ht="36" customHeight="1" x14ac:dyDescent="0.2">
      <c r="A137" s="27"/>
      <c r="B137" s="11"/>
      <c r="C137" s="11"/>
      <c r="D137" s="11"/>
      <c r="E137" s="11"/>
      <c r="F137" s="11"/>
      <c r="G137" s="11"/>
      <c r="H137" s="12"/>
      <c r="I137" s="13"/>
      <c r="J137" s="11"/>
      <c r="K137" s="11"/>
      <c r="L137" s="11"/>
      <c r="M137" s="17"/>
      <c r="N137" s="17"/>
      <c r="O137" s="18" t="s">
        <v>85</v>
      </c>
    </row>
    <row r="138" spans="1:15" ht="36" customHeight="1" x14ac:dyDescent="0.2">
      <c r="A138" s="27"/>
      <c r="B138" s="11"/>
      <c r="C138" s="11"/>
      <c r="D138" s="11"/>
      <c r="E138" s="11"/>
      <c r="F138" s="11"/>
      <c r="G138" s="11"/>
      <c r="H138" s="12"/>
      <c r="I138" s="13"/>
      <c r="J138" s="11"/>
      <c r="K138" s="11"/>
      <c r="L138" s="11"/>
      <c r="M138" s="17"/>
      <c r="N138" s="17"/>
      <c r="O138" s="18" t="s">
        <v>85</v>
      </c>
    </row>
    <row r="139" spans="1:15" ht="36" customHeight="1" x14ac:dyDescent="0.2">
      <c r="A139" s="27"/>
      <c r="B139" s="11"/>
      <c r="C139" s="11"/>
      <c r="D139" s="11"/>
      <c r="E139" s="11"/>
      <c r="F139" s="11"/>
      <c r="G139" s="11"/>
      <c r="H139" s="12"/>
      <c r="I139" s="13"/>
      <c r="J139" s="11"/>
      <c r="K139" s="11"/>
      <c r="L139" s="11"/>
      <c r="M139" s="17"/>
      <c r="N139" s="17"/>
      <c r="O139" s="18" t="s">
        <v>85</v>
      </c>
    </row>
    <row r="140" spans="1:15" ht="36" customHeight="1" x14ac:dyDescent="0.2">
      <c r="A140" s="27"/>
      <c r="B140" s="11"/>
      <c r="C140" s="11"/>
      <c r="D140" s="11"/>
      <c r="E140" s="11"/>
      <c r="F140" s="11"/>
      <c r="G140" s="11"/>
      <c r="H140" s="12"/>
      <c r="I140" s="13"/>
      <c r="J140" s="11"/>
      <c r="K140" s="11"/>
      <c r="L140" s="11"/>
      <c r="M140" s="17"/>
      <c r="N140" s="17"/>
      <c r="O140" s="18" t="s">
        <v>85</v>
      </c>
    </row>
    <row r="141" spans="1:15" ht="36" customHeight="1" x14ac:dyDescent="0.2">
      <c r="A141" s="27"/>
      <c r="B141" s="11"/>
      <c r="C141" s="11"/>
      <c r="D141" s="11"/>
      <c r="E141" s="11"/>
      <c r="F141" s="11"/>
      <c r="G141" s="11"/>
      <c r="H141" s="12"/>
      <c r="I141" s="13"/>
      <c r="J141" s="11"/>
      <c r="K141" s="11"/>
      <c r="L141" s="11"/>
      <c r="M141" s="17"/>
      <c r="N141" s="17"/>
      <c r="O141" s="18" t="s">
        <v>85</v>
      </c>
    </row>
    <row r="142" spans="1:15" ht="36" customHeight="1" x14ac:dyDescent="0.2">
      <c r="A142" s="27"/>
      <c r="B142" s="11"/>
      <c r="C142" s="11"/>
      <c r="D142" s="11"/>
      <c r="E142" s="11"/>
      <c r="F142" s="11"/>
      <c r="G142" s="11"/>
      <c r="H142" s="12"/>
      <c r="I142" s="13"/>
      <c r="J142" s="11"/>
      <c r="K142" s="11"/>
      <c r="L142" s="11"/>
      <c r="M142" s="17"/>
      <c r="N142" s="17"/>
      <c r="O142" s="18" t="s">
        <v>85</v>
      </c>
    </row>
    <row r="143" spans="1:15" ht="36" customHeight="1" x14ac:dyDescent="0.2">
      <c r="A143" s="27"/>
      <c r="B143" s="11"/>
      <c r="C143" s="11"/>
      <c r="D143" s="11"/>
      <c r="E143" s="11"/>
      <c r="F143" s="11"/>
      <c r="G143" s="11"/>
      <c r="H143" s="12"/>
      <c r="I143" s="13"/>
      <c r="J143" s="11"/>
      <c r="K143" s="11"/>
      <c r="L143" s="11"/>
      <c r="M143" s="17"/>
      <c r="N143" s="17"/>
      <c r="O143" s="18" t="s">
        <v>85</v>
      </c>
    </row>
    <row r="144" spans="1:15" ht="36" customHeight="1" x14ac:dyDescent="0.2">
      <c r="A144" s="27"/>
      <c r="B144" s="11"/>
      <c r="C144" s="11"/>
      <c r="D144" s="11"/>
      <c r="E144" s="11"/>
      <c r="F144" s="11"/>
      <c r="G144" s="11"/>
      <c r="H144" s="12"/>
      <c r="I144" s="13"/>
      <c r="J144" s="11"/>
      <c r="K144" s="11"/>
      <c r="L144" s="11"/>
      <c r="M144" s="17"/>
      <c r="N144" s="17"/>
      <c r="O144" s="18" t="s">
        <v>85</v>
      </c>
    </row>
    <row r="145" spans="1:15" ht="36" customHeight="1" x14ac:dyDescent="0.2">
      <c r="A145" s="27"/>
      <c r="B145" s="11"/>
      <c r="C145" s="11"/>
      <c r="D145" s="11"/>
      <c r="E145" s="11"/>
      <c r="F145" s="11"/>
      <c r="G145" s="11"/>
      <c r="H145" s="12"/>
      <c r="I145" s="13"/>
      <c r="J145" s="11"/>
      <c r="K145" s="11"/>
      <c r="L145" s="11"/>
      <c r="M145" s="17"/>
      <c r="N145" s="17"/>
      <c r="O145" s="18" t="s">
        <v>85</v>
      </c>
    </row>
    <row r="146" spans="1:15" ht="36" customHeight="1" x14ac:dyDescent="0.2">
      <c r="A146" s="27"/>
      <c r="B146" s="11"/>
      <c r="C146" s="11"/>
      <c r="D146" s="11"/>
      <c r="E146" s="11"/>
      <c r="F146" s="11"/>
      <c r="G146" s="11"/>
      <c r="H146" s="12"/>
      <c r="I146" s="13"/>
      <c r="J146" s="11"/>
      <c r="K146" s="11"/>
      <c r="L146" s="11"/>
      <c r="M146" s="17"/>
      <c r="N146" s="17"/>
      <c r="O146" s="18" t="s">
        <v>85</v>
      </c>
    </row>
    <row r="147" spans="1:15" ht="36" customHeight="1" x14ac:dyDescent="0.2">
      <c r="A147" s="27"/>
      <c r="B147" s="11"/>
      <c r="C147" s="11"/>
      <c r="D147" s="11"/>
      <c r="E147" s="11"/>
      <c r="F147" s="11"/>
      <c r="G147" s="11"/>
      <c r="H147" s="12"/>
      <c r="I147" s="13"/>
      <c r="J147" s="11"/>
      <c r="K147" s="11"/>
      <c r="L147" s="11"/>
      <c r="M147" s="17"/>
      <c r="N147" s="17"/>
      <c r="O147" s="18" t="s">
        <v>85</v>
      </c>
    </row>
    <row r="148" spans="1:15" ht="36" customHeight="1" x14ac:dyDescent="0.2">
      <c r="A148" s="27"/>
      <c r="B148" s="11"/>
      <c r="C148" s="11"/>
      <c r="D148" s="11"/>
      <c r="E148" s="11"/>
      <c r="F148" s="11"/>
      <c r="G148" s="11"/>
      <c r="H148" s="12"/>
      <c r="I148" s="13"/>
      <c r="J148" s="11"/>
      <c r="K148" s="11"/>
      <c r="L148" s="11"/>
      <c r="M148" s="17"/>
      <c r="N148" s="17"/>
      <c r="O148" s="18" t="s">
        <v>85</v>
      </c>
    </row>
    <row r="149" spans="1:15" ht="36" customHeight="1" x14ac:dyDescent="0.2">
      <c r="A149" s="27"/>
      <c r="B149" s="11"/>
      <c r="C149" s="11"/>
      <c r="D149" s="11"/>
      <c r="E149" s="11"/>
      <c r="F149" s="11"/>
      <c r="G149" s="11"/>
      <c r="H149" s="12"/>
      <c r="I149" s="13"/>
      <c r="J149" s="11"/>
      <c r="K149" s="11"/>
      <c r="L149" s="11"/>
      <c r="M149" s="17"/>
      <c r="N149" s="17"/>
      <c r="O149" s="18" t="s">
        <v>85</v>
      </c>
    </row>
    <row r="150" spans="1:15" ht="36" customHeight="1" x14ac:dyDescent="0.2">
      <c r="A150" s="27"/>
      <c r="B150" s="11"/>
      <c r="C150" s="11"/>
      <c r="D150" s="11"/>
      <c r="E150" s="11"/>
      <c r="F150" s="11"/>
      <c r="G150" s="11"/>
      <c r="H150" s="12"/>
      <c r="I150" s="13"/>
      <c r="J150" s="11"/>
      <c r="K150" s="11"/>
      <c r="L150" s="11"/>
      <c r="M150" s="17"/>
      <c r="N150" s="17"/>
      <c r="O150" s="18" t="s">
        <v>85</v>
      </c>
    </row>
    <row r="151" spans="1:15" ht="36" customHeight="1" x14ac:dyDescent="0.2">
      <c r="A151" s="27"/>
      <c r="B151" s="11"/>
      <c r="C151" s="11"/>
      <c r="D151" s="11"/>
      <c r="E151" s="11"/>
      <c r="F151" s="11"/>
      <c r="G151" s="11"/>
      <c r="H151" s="12"/>
      <c r="I151" s="13"/>
      <c r="J151" s="11"/>
      <c r="K151" s="11"/>
      <c r="L151" s="11"/>
      <c r="M151" s="17"/>
      <c r="N151" s="17"/>
      <c r="O151" s="18" t="s">
        <v>85</v>
      </c>
    </row>
    <row r="152" spans="1:15" ht="36" customHeight="1" x14ac:dyDescent="0.2">
      <c r="A152" s="27"/>
      <c r="B152" s="11"/>
      <c r="C152" s="11"/>
      <c r="D152" s="11"/>
      <c r="E152" s="11"/>
      <c r="F152" s="11"/>
      <c r="G152" s="11"/>
      <c r="H152" s="12"/>
      <c r="I152" s="13"/>
      <c r="J152" s="11"/>
      <c r="K152" s="11"/>
      <c r="L152" s="11"/>
      <c r="M152" s="17"/>
      <c r="N152" s="17"/>
      <c r="O152" s="18" t="s">
        <v>85</v>
      </c>
    </row>
    <row r="153" spans="1:15" ht="36" customHeight="1" x14ac:dyDescent="0.2">
      <c r="A153" s="27"/>
      <c r="B153" s="11"/>
      <c r="C153" s="11"/>
      <c r="D153" s="11"/>
      <c r="E153" s="11"/>
      <c r="F153" s="11"/>
      <c r="G153" s="11"/>
      <c r="H153" s="12"/>
      <c r="I153" s="13"/>
      <c r="J153" s="11"/>
      <c r="K153" s="11"/>
      <c r="L153" s="11"/>
      <c r="M153" s="17"/>
      <c r="N153" s="17"/>
      <c r="O153" s="18" t="s">
        <v>85</v>
      </c>
    </row>
    <row r="154" spans="1:15" ht="36" customHeight="1" x14ac:dyDescent="0.2">
      <c r="A154" s="27"/>
      <c r="B154" s="11"/>
      <c r="C154" s="11"/>
      <c r="D154" s="11"/>
      <c r="E154" s="11"/>
      <c r="F154" s="11"/>
      <c r="G154" s="11"/>
      <c r="H154" s="12"/>
      <c r="I154" s="13"/>
      <c r="J154" s="11"/>
      <c r="K154" s="11"/>
      <c r="L154" s="11"/>
      <c r="M154" s="17"/>
      <c r="N154" s="17"/>
      <c r="O154" s="18" t="s">
        <v>85</v>
      </c>
    </row>
    <row r="155" spans="1:15" ht="36" customHeight="1" x14ac:dyDescent="0.2">
      <c r="A155" s="27"/>
      <c r="B155" s="11"/>
      <c r="C155" s="11"/>
      <c r="D155" s="11"/>
      <c r="E155" s="11"/>
      <c r="F155" s="11"/>
      <c r="G155" s="11"/>
      <c r="H155" s="12"/>
      <c r="I155" s="13"/>
      <c r="J155" s="11"/>
      <c r="K155" s="11"/>
      <c r="L155" s="11"/>
      <c r="M155" s="17"/>
      <c r="N155" s="17"/>
      <c r="O155" s="18" t="s">
        <v>85</v>
      </c>
    </row>
    <row r="156" spans="1:15" ht="36" customHeight="1" x14ac:dyDescent="0.2">
      <c r="A156" s="27"/>
      <c r="B156" s="11"/>
      <c r="C156" s="11"/>
      <c r="D156" s="11"/>
      <c r="E156" s="11"/>
      <c r="F156" s="11"/>
      <c r="G156" s="11"/>
      <c r="H156" s="12"/>
      <c r="I156" s="13"/>
      <c r="J156" s="11"/>
      <c r="K156" s="11"/>
      <c r="L156" s="11"/>
      <c r="M156" s="17"/>
      <c r="N156" s="17"/>
      <c r="O156" s="18" t="s">
        <v>85</v>
      </c>
    </row>
    <row r="157" spans="1:15" ht="36" customHeight="1" x14ac:dyDescent="0.2">
      <c r="A157" s="27"/>
      <c r="B157" s="11"/>
      <c r="C157" s="11"/>
      <c r="D157" s="11"/>
      <c r="E157" s="11"/>
      <c r="F157" s="11"/>
      <c r="G157" s="11"/>
      <c r="H157" s="12"/>
      <c r="I157" s="13"/>
      <c r="J157" s="11"/>
      <c r="K157" s="11"/>
      <c r="L157" s="11"/>
      <c r="M157" s="17"/>
      <c r="N157" s="17"/>
      <c r="O157" s="18" t="s">
        <v>85</v>
      </c>
    </row>
    <row r="158" spans="1:15" ht="36" customHeight="1" x14ac:dyDescent="0.2">
      <c r="A158" s="27"/>
      <c r="B158" s="11"/>
      <c r="C158" s="11"/>
      <c r="D158" s="11"/>
      <c r="E158" s="11"/>
      <c r="F158" s="11"/>
      <c r="G158" s="11"/>
      <c r="H158" s="12"/>
      <c r="I158" s="13"/>
      <c r="J158" s="11"/>
      <c r="K158" s="11"/>
      <c r="L158" s="11"/>
      <c r="M158" s="17"/>
      <c r="N158" s="17"/>
      <c r="O158" s="18" t="s">
        <v>85</v>
      </c>
    </row>
    <row r="159" spans="1:15" ht="36" customHeight="1" x14ac:dyDescent="0.2">
      <c r="A159" s="27"/>
      <c r="B159" s="11"/>
      <c r="C159" s="11"/>
      <c r="D159" s="11"/>
      <c r="E159" s="11"/>
      <c r="F159" s="11"/>
      <c r="G159" s="11"/>
      <c r="H159" s="12"/>
      <c r="I159" s="13"/>
      <c r="J159" s="11"/>
      <c r="K159" s="11"/>
      <c r="L159" s="11"/>
      <c r="M159" s="17"/>
      <c r="N159" s="17"/>
      <c r="O159" s="18" t="s">
        <v>85</v>
      </c>
    </row>
    <row r="160" spans="1:15" ht="36" customHeight="1" x14ac:dyDescent="0.2">
      <c r="A160" s="27"/>
      <c r="B160" s="11"/>
      <c r="C160" s="11"/>
      <c r="D160" s="11"/>
      <c r="E160" s="11"/>
      <c r="F160" s="11"/>
      <c r="G160" s="11"/>
      <c r="H160" s="12"/>
      <c r="I160" s="13"/>
      <c r="J160" s="11"/>
      <c r="K160" s="11"/>
      <c r="L160" s="11"/>
      <c r="M160" s="17"/>
      <c r="N160" s="17"/>
      <c r="O160" s="18" t="s">
        <v>85</v>
      </c>
    </row>
    <row r="161" spans="1:15" ht="36" customHeight="1" x14ac:dyDescent="0.2">
      <c r="A161" s="27"/>
      <c r="B161" s="11"/>
      <c r="C161" s="11"/>
      <c r="D161" s="11"/>
      <c r="E161" s="11"/>
      <c r="F161" s="11"/>
      <c r="G161" s="11"/>
      <c r="H161" s="12"/>
      <c r="I161" s="13"/>
      <c r="J161" s="11"/>
      <c r="K161" s="11"/>
      <c r="L161" s="11"/>
      <c r="M161" s="17"/>
      <c r="N161" s="17"/>
      <c r="O161" s="18" t="s">
        <v>85</v>
      </c>
    </row>
    <row r="162" spans="1:15" ht="36" customHeight="1" x14ac:dyDescent="0.2">
      <c r="A162" s="27"/>
      <c r="B162" s="11"/>
      <c r="C162" s="11"/>
      <c r="D162" s="11"/>
      <c r="E162" s="11"/>
      <c r="F162" s="11"/>
      <c r="G162" s="11"/>
      <c r="H162" s="12"/>
      <c r="I162" s="13"/>
      <c r="J162" s="11"/>
      <c r="K162" s="11"/>
      <c r="L162" s="11"/>
      <c r="M162" s="17"/>
      <c r="N162" s="17"/>
      <c r="O162" s="18" t="s">
        <v>85</v>
      </c>
    </row>
    <row r="163" spans="1:15" ht="36" customHeight="1" x14ac:dyDescent="0.2">
      <c r="A163" s="27"/>
      <c r="B163" s="11"/>
      <c r="C163" s="11"/>
      <c r="D163" s="11"/>
      <c r="E163" s="11"/>
      <c r="F163" s="11"/>
      <c r="G163" s="11"/>
      <c r="H163" s="12"/>
      <c r="I163" s="13"/>
      <c r="J163" s="11"/>
      <c r="K163" s="11"/>
      <c r="L163" s="11"/>
      <c r="M163" s="17"/>
      <c r="N163" s="17"/>
      <c r="O163" s="18" t="s">
        <v>85</v>
      </c>
    </row>
    <row r="164" spans="1:15" ht="36" customHeight="1" x14ac:dyDescent="0.2">
      <c r="A164" s="27"/>
      <c r="B164" s="11"/>
      <c r="C164" s="11"/>
      <c r="D164" s="11"/>
      <c r="E164" s="11"/>
      <c r="F164" s="11"/>
      <c r="G164" s="11"/>
      <c r="H164" s="12"/>
      <c r="I164" s="13"/>
      <c r="J164" s="11"/>
      <c r="K164" s="11"/>
      <c r="L164" s="11"/>
      <c r="M164" s="17"/>
      <c r="N164" s="17"/>
      <c r="O164" s="18" t="s">
        <v>85</v>
      </c>
    </row>
    <row r="165" spans="1:15" ht="36" customHeight="1" x14ac:dyDescent="0.2">
      <c r="A165" s="27"/>
      <c r="B165" s="11"/>
      <c r="C165" s="11"/>
      <c r="D165" s="11"/>
      <c r="E165" s="11"/>
      <c r="F165" s="11"/>
      <c r="G165" s="11"/>
      <c r="H165" s="12"/>
      <c r="I165" s="13"/>
      <c r="J165" s="11"/>
      <c r="K165" s="11"/>
      <c r="L165" s="11"/>
      <c r="M165" s="17"/>
      <c r="N165" s="17"/>
      <c r="O165" s="18" t="s">
        <v>85</v>
      </c>
    </row>
    <row r="166" spans="1:15" ht="36" customHeight="1" x14ac:dyDescent="0.2">
      <c r="A166" s="27"/>
      <c r="B166" s="11"/>
      <c r="C166" s="11"/>
      <c r="D166" s="11"/>
      <c r="E166" s="11"/>
      <c r="F166" s="11"/>
      <c r="G166" s="11"/>
      <c r="H166" s="12"/>
      <c r="I166" s="13"/>
      <c r="J166" s="11"/>
      <c r="K166" s="11"/>
      <c r="L166" s="11"/>
      <c r="M166" s="17"/>
      <c r="N166" s="17"/>
      <c r="O166" s="18" t="s">
        <v>85</v>
      </c>
    </row>
    <row r="167" spans="1:15" ht="36" customHeight="1" x14ac:dyDescent="0.2">
      <c r="A167" s="27"/>
      <c r="B167" s="11"/>
      <c r="C167" s="11"/>
      <c r="D167" s="11"/>
      <c r="E167" s="11"/>
      <c r="F167" s="11"/>
      <c r="G167" s="11"/>
      <c r="H167" s="12"/>
      <c r="I167" s="13"/>
      <c r="J167" s="11"/>
      <c r="K167" s="11"/>
      <c r="L167" s="11"/>
      <c r="M167" s="17"/>
      <c r="N167" s="17"/>
      <c r="O167" s="18" t="s">
        <v>85</v>
      </c>
    </row>
    <row r="168" spans="1:15" ht="36" customHeight="1" x14ac:dyDescent="0.2">
      <c r="A168" s="27"/>
      <c r="B168" s="11"/>
      <c r="C168" s="11"/>
      <c r="D168" s="11"/>
      <c r="E168" s="11"/>
      <c r="F168" s="11"/>
      <c r="G168" s="11"/>
      <c r="H168" s="12"/>
      <c r="I168" s="13"/>
      <c r="J168" s="11"/>
      <c r="K168" s="11"/>
      <c r="L168" s="11"/>
      <c r="M168" s="17"/>
      <c r="N168" s="17"/>
      <c r="O168" s="18" t="s">
        <v>85</v>
      </c>
    </row>
    <row r="169" spans="1:15" ht="36" customHeight="1" x14ac:dyDescent="0.2">
      <c r="A169" s="27"/>
      <c r="B169" s="11"/>
      <c r="C169" s="11"/>
      <c r="D169" s="11"/>
      <c r="E169" s="11"/>
      <c r="F169" s="11"/>
      <c r="G169" s="11"/>
      <c r="H169" s="12"/>
      <c r="I169" s="13"/>
      <c r="J169" s="11"/>
      <c r="K169" s="11"/>
      <c r="L169" s="11"/>
      <c r="M169" s="17"/>
      <c r="N169" s="17"/>
      <c r="O169" s="18" t="s">
        <v>85</v>
      </c>
    </row>
    <row r="170" spans="1:15" ht="36" customHeight="1" x14ac:dyDescent="0.2">
      <c r="A170" s="27"/>
      <c r="B170" s="11"/>
      <c r="C170" s="11"/>
      <c r="D170" s="11"/>
      <c r="E170" s="11"/>
      <c r="F170" s="11"/>
      <c r="G170" s="11"/>
      <c r="H170" s="12"/>
      <c r="I170" s="13"/>
      <c r="J170" s="11"/>
      <c r="K170" s="11"/>
      <c r="L170" s="11"/>
      <c r="M170" s="17"/>
      <c r="N170" s="17"/>
      <c r="O170" s="18" t="s">
        <v>85</v>
      </c>
    </row>
    <row r="171" spans="1:15" ht="36" customHeight="1" x14ac:dyDescent="0.2">
      <c r="A171" s="27"/>
      <c r="B171" s="11"/>
      <c r="C171" s="11"/>
      <c r="D171" s="11"/>
      <c r="E171" s="11"/>
      <c r="F171" s="11"/>
      <c r="G171" s="11"/>
      <c r="H171" s="12"/>
      <c r="I171" s="13"/>
      <c r="J171" s="11"/>
      <c r="K171" s="11"/>
      <c r="L171" s="11"/>
      <c r="M171" s="17"/>
      <c r="N171" s="17"/>
      <c r="O171" s="18" t="s">
        <v>85</v>
      </c>
    </row>
    <row r="172" spans="1:15" ht="36" customHeight="1" x14ac:dyDescent="0.2">
      <c r="A172" s="27"/>
      <c r="B172" s="11"/>
      <c r="C172" s="11"/>
      <c r="D172" s="11"/>
      <c r="E172" s="11"/>
      <c r="F172" s="11"/>
      <c r="G172" s="11"/>
      <c r="H172" s="12"/>
      <c r="I172" s="13"/>
      <c r="J172" s="11"/>
      <c r="K172" s="11"/>
      <c r="L172" s="11"/>
      <c r="M172" s="17"/>
      <c r="N172" s="17"/>
      <c r="O172" s="18" t="s">
        <v>85</v>
      </c>
    </row>
    <row r="173" spans="1:15" ht="36" customHeight="1" x14ac:dyDescent="0.2">
      <c r="A173" s="27"/>
      <c r="B173" s="11"/>
      <c r="C173" s="11"/>
      <c r="D173" s="11"/>
      <c r="E173" s="11"/>
      <c r="F173" s="11"/>
      <c r="G173" s="11"/>
      <c r="H173" s="12"/>
      <c r="I173" s="13"/>
      <c r="J173" s="11"/>
      <c r="K173" s="11"/>
      <c r="L173" s="11"/>
      <c r="M173" s="17"/>
      <c r="N173" s="17"/>
      <c r="O173" s="18" t="s">
        <v>85</v>
      </c>
    </row>
    <row r="174" spans="1:15" ht="36" customHeight="1" x14ac:dyDescent="0.2">
      <c r="A174" s="27"/>
      <c r="B174" s="11"/>
      <c r="C174" s="11"/>
      <c r="D174" s="11"/>
      <c r="E174" s="11"/>
      <c r="F174" s="11"/>
      <c r="G174" s="11"/>
      <c r="H174" s="12"/>
      <c r="I174" s="13"/>
      <c r="J174" s="11"/>
      <c r="K174" s="11"/>
      <c r="L174" s="11"/>
      <c r="M174" s="17"/>
      <c r="N174" s="17"/>
      <c r="O174" s="18" t="s">
        <v>85</v>
      </c>
    </row>
    <row r="175" spans="1:15" ht="36" customHeight="1" x14ac:dyDescent="0.2">
      <c r="A175" s="27"/>
      <c r="B175" s="11"/>
      <c r="C175" s="11"/>
      <c r="D175" s="11"/>
      <c r="E175" s="11"/>
      <c r="F175" s="11"/>
      <c r="G175" s="11"/>
      <c r="H175" s="12"/>
      <c r="I175" s="13"/>
      <c r="J175" s="11"/>
      <c r="K175" s="11"/>
      <c r="L175" s="11"/>
      <c r="M175" s="17"/>
      <c r="N175" s="17"/>
      <c r="O175" s="18" t="s">
        <v>85</v>
      </c>
    </row>
    <row r="176" spans="1:15" ht="36" customHeight="1" x14ac:dyDescent="0.2">
      <c r="A176" s="27"/>
      <c r="B176" s="11"/>
      <c r="C176" s="11"/>
      <c r="D176" s="11"/>
      <c r="E176" s="11"/>
      <c r="F176" s="11"/>
      <c r="G176" s="11"/>
      <c r="H176" s="12"/>
      <c r="I176" s="13"/>
      <c r="J176" s="11"/>
      <c r="K176" s="11"/>
      <c r="L176" s="11"/>
      <c r="M176" s="17"/>
      <c r="N176" s="17"/>
      <c r="O176" s="18" t="s">
        <v>85</v>
      </c>
    </row>
    <row r="177" spans="1:15" ht="36" customHeight="1" x14ac:dyDescent="0.2">
      <c r="A177" s="27"/>
      <c r="B177" s="11"/>
      <c r="C177" s="11"/>
      <c r="D177" s="11"/>
      <c r="E177" s="11"/>
      <c r="F177" s="11"/>
      <c r="G177" s="11"/>
      <c r="H177" s="12"/>
      <c r="I177" s="13"/>
      <c r="J177" s="11"/>
      <c r="K177" s="11"/>
      <c r="L177" s="11"/>
      <c r="M177" s="17"/>
      <c r="N177" s="17"/>
      <c r="O177" s="18" t="s">
        <v>85</v>
      </c>
    </row>
    <row r="178" spans="1:15" ht="36" customHeight="1" x14ac:dyDescent="0.2">
      <c r="A178" s="27"/>
      <c r="B178" s="11"/>
      <c r="C178" s="11"/>
      <c r="D178" s="11"/>
      <c r="E178" s="11"/>
      <c r="F178" s="11"/>
      <c r="G178" s="11"/>
      <c r="H178" s="12"/>
      <c r="I178" s="13"/>
      <c r="J178" s="11"/>
      <c r="K178" s="11"/>
      <c r="L178" s="11"/>
      <c r="M178" s="17"/>
      <c r="N178" s="17"/>
      <c r="O178" s="18" t="s">
        <v>85</v>
      </c>
    </row>
    <row r="179" spans="1:15" ht="36" customHeight="1" x14ac:dyDescent="0.2">
      <c r="A179" s="27"/>
      <c r="B179" s="11"/>
      <c r="C179" s="11"/>
      <c r="D179" s="11"/>
      <c r="E179" s="11"/>
      <c r="F179" s="11"/>
      <c r="G179" s="11"/>
      <c r="H179" s="12"/>
      <c r="I179" s="13"/>
      <c r="J179" s="11"/>
      <c r="K179" s="11"/>
      <c r="L179" s="11"/>
      <c r="M179" s="17"/>
      <c r="N179" s="17"/>
      <c r="O179" s="18" t="s">
        <v>85</v>
      </c>
    </row>
    <row r="180" spans="1:15" ht="36" customHeight="1" x14ac:dyDescent="0.2">
      <c r="A180" s="27"/>
      <c r="B180" s="11"/>
      <c r="C180" s="11"/>
      <c r="D180" s="11"/>
      <c r="E180" s="11"/>
      <c r="F180" s="11"/>
      <c r="G180" s="11"/>
      <c r="H180" s="12"/>
      <c r="I180" s="13"/>
      <c r="J180" s="11"/>
      <c r="K180" s="11"/>
      <c r="L180" s="11"/>
      <c r="M180" s="17"/>
      <c r="N180" s="17"/>
      <c r="O180" s="18" t="s">
        <v>85</v>
      </c>
    </row>
    <row r="181" spans="1:15" ht="36" customHeight="1" x14ac:dyDescent="0.2">
      <c r="A181" s="27"/>
      <c r="B181" s="11"/>
      <c r="C181" s="11"/>
      <c r="D181" s="11"/>
      <c r="E181" s="11"/>
      <c r="F181" s="11"/>
      <c r="G181" s="11"/>
      <c r="H181" s="12"/>
      <c r="I181" s="13"/>
      <c r="J181" s="11"/>
      <c r="K181" s="11"/>
      <c r="L181" s="11"/>
      <c r="M181" s="17"/>
      <c r="N181" s="17"/>
      <c r="O181" s="18" t="s">
        <v>85</v>
      </c>
    </row>
    <row r="182" spans="1:15" ht="36" customHeight="1" x14ac:dyDescent="0.2">
      <c r="A182" s="27"/>
      <c r="B182" s="11"/>
      <c r="C182" s="11"/>
      <c r="D182" s="11"/>
      <c r="E182" s="11"/>
      <c r="F182" s="11"/>
      <c r="G182" s="11"/>
      <c r="H182" s="12"/>
      <c r="I182" s="13"/>
      <c r="J182" s="11"/>
      <c r="K182" s="11"/>
      <c r="L182" s="11"/>
      <c r="M182" s="17"/>
      <c r="N182" s="17"/>
      <c r="O182" s="18" t="s">
        <v>85</v>
      </c>
    </row>
    <row r="183" spans="1:15" ht="36" customHeight="1" x14ac:dyDescent="0.2">
      <c r="A183" s="27"/>
      <c r="B183" s="11"/>
      <c r="C183" s="11"/>
      <c r="D183" s="11"/>
      <c r="E183" s="11"/>
      <c r="F183" s="11"/>
      <c r="G183" s="11"/>
      <c r="H183" s="12"/>
      <c r="I183" s="13"/>
      <c r="J183" s="11"/>
      <c r="K183" s="11"/>
      <c r="L183" s="11"/>
      <c r="M183" s="17"/>
      <c r="N183" s="17"/>
      <c r="O183" s="18" t="s">
        <v>85</v>
      </c>
    </row>
    <row r="184" spans="1:15" ht="36" customHeight="1" x14ac:dyDescent="0.2">
      <c r="A184" s="27"/>
      <c r="B184" s="11"/>
      <c r="C184" s="11"/>
      <c r="D184" s="11"/>
      <c r="E184" s="11"/>
      <c r="F184" s="11"/>
      <c r="G184" s="11"/>
      <c r="H184" s="12"/>
      <c r="I184" s="13"/>
      <c r="J184" s="11"/>
      <c r="K184" s="11"/>
      <c r="L184" s="11"/>
      <c r="M184" s="17"/>
      <c r="N184" s="17"/>
      <c r="O184" s="18" t="s">
        <v>85</v>
      </c>
    </row>
    <row r="185" spans="1:15" ht="36" customHeight="1" x14ac:dyDescent="0.2">
      <c r="A185" s="27"/>
      <c r="B185" s="11"/>
      <c r="C185" s="11"/>
      <c r="D185" s="11"/>
      <c r="E185" s="11"/>
      <c r="F185" s="11"/>
      <c r="G185" s="11"/>
      <c r="H185" s="12"/>
      <c r="I185" s="13"/>
      <c r="J185" s="11"/>
      <c r="K185" s="11"/>
      <c r="L185" s="11"/>
      <c r="M185" s="17"/>
      <c r="N185" s="17"/>
      <c r="O185" s="18" t="s">
        <v>85</v>
      </c>
    </row>
    <row r="186" spans="1:15" ht="36" customHeight="1" x14ac:dyDescent="0.2">
      <c r="A186" s="27"/>
      <c r="B186" s="11"/>
      <c r="C186" s="11"/>
      <c r="D186" s="11"/>
      <c r="E186" s="11"/>
      <c r="F186" s="11"/>
      <c r="G186" s="11"/>
      <c r="H186" s="12"/>
      <c r="I186" s="13"/>
      <c r="J186" s="11"/>
      <c r="K186" s="11"/>
      <c r="L186" s="11"/>
      <c r="M186" s="17"/>
      <c r="N186" s="17"/>
      <c r="O186" s="18" t="s">
        <v>85</v>
      </c>
    </row>
    <row r="187" spans="1:15" ht="36" customHeight="1" x14ac:dyDescent="0.2">
      <c r="A187" s="27"/>
      <c r="B187" s="11"/>
      <c r="C187" s="11"/>
      <c r="D187" s="11"/>
      <c r="E187" s="11"/>
      <c r="F187" s="11"/>
      <c r="G187" s="11"/>
      <c r="H187" s="12"/>
      <c r="I187" s="13"/>
      <c r="J187" s="11"/>
      <c r="K187" s="11"/>
      <c r="L187" s="11"/>
      <c r="M187" s="17"/>
      <c r="N187" s="17"/>
      <c r="O187" s="18" t="s">
        <v>85</v>
      </c>
    </row>
    <row r="188" spans="1:15" ht="36" customHeight="1" x14ac:dyDescent="0.2">
      <c r="A188" s="27"/>
      <c r="B188" s="11"/>
      <c r="C188" s="11"/>
      <c r="D188" s="11"/>
      <c r="E188" s="11"/>
      <c r="F188" s="11"/>
      <c r="G188" s="11"/>
      <c r="H188" s="12"/>
      <c r="I188" s="13"/>
      <c r="J188" s="11"/>
      <c r="K188" s="11"/>
      <c r="L188" s="11"/>
      <c r="M188" s="17"/>
      <c r="N188" s="17"/>
      <c r="O188" s="18" t="s">
        <v>85</v>
      </c>
    </row>
    <row r="189" spans="1:15" ht="36" customHeight="1" x14ac:dyDescent="0.2">
      <c r="A189" s="27"/>
      <c r="B189" s="11"/>
      <c r="C189" s="11"/>
      <c r="D189" s="11"/>
      <c r="E189" s="11"/>
      <c r="F189" s="11"/>
      <c r="G189" s="11"/>
      <c r="H189" s="12"/>
      <c r="I189" s="13"/>
      <c r="J189" s="11"/>
      <c r="K189" s="11"/>
      <c r="L189" s="11"/>
      <c r="M189" s="17"/>
      <c r="N189" s="17"/>
      <c r="O189" s="18" t="s">
        <v>85</v>
      </c>
    </row>
    <row r="190" spans="1:15" ht="36" customHeight="1" x14ac:dyDescent="0.2">
      <c r="A190" s="27"/>
      <c r="B190" s="11"/>
      <c r="C190" s="11"/>
      <c r="D190" s="11"/>
      <c r="E190" s="11"/>
      <c r="F190" s="11"/>
      <c r="G190" s="11"/>
      <c r="H190" s="12"/>
      <c r="I190" s="13"/>
      <c r="J190" s="11"/>
      <c r="K190" s="11"/>
      <c r="L190" s="11"/>
      <c r="M190" s="17"/>
      <c r="N190" s="17"/>
      <c r="O190" s="18" t="s">
        <v>85</v>
      </c>
    </row>
    <row r="191" spans="1:15" ht="36" customHeight="1" x14ac:dyDescent="0.2">
      <c r="A191" s="27"/>
      <c r="B191" s="11"/>
      <c r="C191" s="11"/>
      <c r="D191" s="11"/>
      <c r="E191" s="11"/>
      <c r="F191" s="11"/>
      <c r="G191" s="11"/>
      <c r="H191" s="12"/>
      <c r="I191" s="13"/>
      <c r="J191" s="11"/>
      <c r="K191" s="11"/>
      <c r="L191" s="11"/>
      <c r="M191" s="17"/>
      <c r="N191" s="17"/>
      <c r="O191" s="18" t="s">
        <v>85</v>
      </c>
    </row>
    <row r="192" spans="1:15" ht="36" customHeight="1" x14ac:dyDescent="0.2">
      <c r="A192" s="27"/>
      <c r="B192" s="11"/>
      <c r="C192" s="11"/>
      <c r="D192" s="11"/>
      <c r="E192" s="11"/>
      <c r="F192" s="11"/>
      <c r="G192" s="11"/>
      <c r="H192" s="12"/>
      <c r="I192" s="13"/>
      <c r="J192" s="11"/>
      <c r="K192" s="11"/>
      <c r="L192" s="11"/>
      <c r="M192" s="17"/>
      <c r="N192" s="17"/>
      <c r="O192" s="18" t="s">
        <v>85</v>
      </c>
    </row>
    <row r="193" spans="1:15" ht="36" customHeight="1" x14ac:dyDescent="0.2">
      <c r="A193" s="27"/>
      <c r="B193" s="11"/>
      <c r="C193" s="11"/>
      <c r="D193" s="11"/>
      <c r="E193" s="11"/>
      <c r="F193" s="11"/>
      <c r="G193" s="11"/>
      <c r="H193" s="12"/>
      <c r="I193" s="13"/>
      <c r="J193" s="11"/>
      <c r="K193" s="11"/>
      <c r="L193" s="11"/>
      <c r="M193" s="17"/>
      <c r="N193" s="17"/>
      <c r="O193" s="18" t="s">
        <v>85</v>
      </c>
    </row>
    <row r="194" spans="1:15" ht="36" customHeight="1" x14ac:dyDescent="0.2">
      <c r="A194" s="27"/>
      <c r="B194" s="11"/>
      <c r="C194" s="11"/>
      <c r="D194" s="11"/>
      <c r="E194" s="11"/>
      <c r="F194" s="11"/>
      <c r="G194" s="11"/>
      <c r="H194" s="12"/>
      <c r="I194" s="13"/>
      <c r="J194" s="11"/>
      <c r="K194" s="11"/>
      <c r="L194" s="11"/>
      <c r="M194" s="17"/>
      <c r="N194" s="17"/>
      <c r="O194" s="18" t="s">
        <v>85</v>
      </c>
    </row>
    <row r="195" spans="1:15" ht="36" customHeight="1" x14ac:dyDescent="0.2">
      <c r="A195" s="27"/>
      <c r="B195" s="11"/>
      <c r="C195" s="11"/>
      <c r="D195" s="11"/>
      <c r="E195" s="11"/>
      <c r="F195" s="11"/>
      <c r="G195" s="11"/>
      <c r="H195" s="12"/>
      <c r="I195" s="13"/>
      <c r="J195" s="11"/>
      <c r="K195" s="11"/>
      <c r="L195" s="11"/>
      <c r="M195" s="17"/>
      <c r="N195" s="17"/>
      <c r="O195" s="18" t="s">
        <v>85</v>
      </c>
    </row>
    <row r="196" spans="1:15" ht="36" customHeight="1" x14ac:dyDescent="0.2">
      <c r="A196" s="27"/>
      <c r="B196" s="11"/>
      <c r="C196" s="11"/>
      <c r="D196" s="11"/>
      <c r="E196" s="11"/>
      <c r="F196" s="11"/>
      <c r="G196" s="11"/>
      <c r="H196" s="12"/>
      <c r="I196" s="13"/>
      <c r="J196" s="11"/>
      <c r="K196" s="11"/>
      <c r="L196" s="11"/>
      <c r="M196" s="17"/>
      <c r="N196" s="17"/>
      <c r="O196" s="18" t="s">
        <v>85</v>
      </c>
    </row>
    <row r="197" spans="1:15" ht="36" customHeight="1" x14ac:dyDescent="0.2">
      <c r="A197" s="27"/>
      <c r="B197" s="11"/>
      <c r="C197" s="11"/>
      <c r="D197" s="11"/>
      <c r="E197" s="11"/>
      <c r="F197" s="11"/>
      <c r="G197" s="11"/>
      <c r="H197" s="12"/>
      <c r="I197" s="13"/>
      <c r="J197" s="11"/>
      <c r="K197" s="11"/>
      <c r="L197" s="11"/>
      <c r="M197" s="17"/>
      <c r="N197" s="17"/>
      <c r="O197" s="18" t="s">
        <v>85</v>
      </c>
    </row>
    <row r="198" spans="1:15" ht="36" customHeight="1" x14ac:dyDescent="0.2">
      <c r="A198" s="27"/>
      <c r="B198" s="11"/>
      <c r="C198" s="11"/>
      <c r="D198" s="11"/>
      <c r="E198" s="11"/>
      <c r="F198" s="11"/>
      <c r="G198" s="11"/>
      <c r="H198" s="12"/>
      <c r="I198" s="13"/>
      <c r="J198" s="11"/>
      <c r="K198" s="11"/>
      <c r="L198" s="11"/>
      <c r="M198" s="17"/>
      <c r="N198" s="17"/>
      <c r="O198" s="18" t="s">
        <v>85</v>
      </c>
    </row>
    <row r="199" spans="1:15" ht="36" customHeight="1" x14ac:dyDescent="0.2">
      <c r="A199" s="27"/>
      <c r="B199" s="11"/>
      <c r="C199" s="11"/>
      <c r="D199" s="11"/>
      <c r="E199" s="11"/>
      <c r="F199" s="11"/>
      <c r="G199" s="11"/>
      <c r="H199" s="12"/>
      <c r="I199" s="13"/>
      <c r="J199" s="11"/>
      <c r="K199" s="11"/>
      <c r="L199" s="11"/>
      <c r="M199" s="17"/>
      <c r="N199" s="17"/>
      <c r="O199" s="18" t="s">
        <v>85</v>
      </c>
    </row>
  </sheetData>
  <conditionalFormatting sqref="J2:J199">
    <cfRule type="cellIs" dxfId="56" priority="1" operator="equal">
      <formula>"Waiting"</formula>
    </cfRule>
    <cfRule type="cellIs" dxfId="55" priority="2" operator="equal">
      <formula>"In Progress"</formula>
    </cfRule>
    <cfRule type="cellIs" dxfId="54" priority="3" operator="equal">
      <formula>"Checking"</formula>
    </cfRule>
    <cfRule type="cellIs" dxfId="53" priority="4" operator="equal">
      <formula>"Done"</formula>
    </cfRule>
    <cfRule type="cellIs" dxfId="52" priority="5" operator="equal">
      <formula>"Blocked"</formula>
    </cfRule>
    <cfRule type="cellIs" dxfId="51" priority="6" operator="equal">
      <formula>"Cancelled"</formula>
    </cfRule>
  </conditionalFormatting>
  <conditionalFormatting sqref="K2:K199">
    <cfRule type="cellIs" dxfId="50" priority="7" operator="equal">
      <formula>"CAD1"</formula>
    </cfRule>
    <cfRule type="cellIs" dxfId="49" priority="8" operator="equal">
      <formula>"CAD2"</formula>
    </cfRule>
    <cfRule type="cellIs" dxfId="48" priority="9" operator="equal">
      <formula>"CAD3"</formula>
    </cfRule>
    <cfRule type="cellIs" dxfId="47" priority="10" operator="equal">
      <formula>"CAD4"</formula>
    </cfRule>
    <cfRule type="cellIs" dxfId="46" priority="11" operator="equal">
      <formula>"CAD5"</formula>
    </cfRule>
    <cfRule type="cellIs" dxfId="45" priority="12" operator="equal">
      <formula>"CAD6"</formula>
    </cfRule>
    <cfRule type="cellIs" dxfId="44" priority="13" operator="equal">
      <formula>"Outsource CAD"</formula>
    </cfRule>
    <cfRule type="cellIs" dxfId="43" priority="14" operator="equal">
      <formula>"Sdesign"</formula>
    </cfRule>
    <cfRule type="cellIs" dxfId="42" priority="15" operator="equal">
      <formula>"Design 2"</formula>
    </cfRule>
  </conditionalFormatting>
  <conditionalFormatting sqref="L2:L199">
    <cfRule type="cellIs" dxfId="41" priority="16" operator="equal">
      <formula>"Urgent"</formula>
    </cfRule>
    <cfRule type="cellIs" dxfId="40" priority="17" operator="equal">
      <formula>"High"</formula>
    </cfRule>
    <cfRule type="cellIs" dxfId="39" priority="18" operator="equal">
      <formula>"Normal"</formula>
    </cfRule>
    <cfRule type="cellIs" dxfId="38" priority="19" operator="equal">
      <formula>"Low"</formula>
    </cfRule>
  </conditionalFormatting>
  <dataValidations count="1">
    <dataValidation type="list" allowBlank="1" showInputMessage="1" showErrorMessage="1" sqref="O1:O199" xr:uid="{437FDA72-CE9A-4078-935E-48789480BDD2}">
      <formula1>"No,Yes"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3326308-A989-4269-A99F-9B3120C2E8E3}">
          <x14:formula1>
            <xm:f>'Lists hidden'!$B$2:$B$6</xm:f>
          </x14:formula1>
          <xm:sqref>E2:E199</xm:sqref>
        </x14:dataValidation>
        <x14:dataValidation type="list" allowBlank="1" showInputMessage="1" showErrorMessage="1" xr:uid="{B026845A-64A4-4A3C-8AA2-3D13FFF436CF}">
          <x14:formula1>
            <xm:f>'Lists hidden'!$C$2:$C$7</xm:f>
          </x14:formula1>
          <xm:sqref>F2:F199</xm:sqref>
        </x14:dataValidation>
        <x14:dataValidation type="list" allowBlank="1" showInputMessage="1" showErrorMessage="1" xr:uid="{02FA9FA2-21EE-4E9B-8EBC-2C1C6F8B40B5}">
          <x14:formula1>
            <xm:f>'Lists hidden'!$A$2:$A$7</xm:f>
          </x14:formula1>
          <xm:sqref>J2:J199</xm:sqref>
        </x14:dataValidation>
        <x14:dataValidation type="list" allowBlank="1" showInputMessage="1" showErrorMessage="1" xr:uid="{3712B94A-2341-4394-9267-65EA0FD41AF0}">
          <x14:formula1>
            <xm:f>'Lists hidden'!$E$2:$E$10</xm:f>
          </x14:formula1>
          <xm:sqref>K2:K199</xm:sqref>
        </x14:dataValidation>
        <x14:dataValidation type="list" allowBlank="1" showInputMessage="1" showErrorMessage="1" xr:uid="{A6F5FAE0-6572-47BD-8F14-EDBD77D45B3B}">
          <x14:formula1>
            <xm:f>'Lists hidden'!$D$2:$D$5</xm:f>
          </x14:formula1>
          <xm:sqref>L2:L199</xm:sqref>
        </x14:dataValidation>
        <x14:dataValidation type="list" allowBlank="1" showInputMessage="1" showErrorMessage="1" xr:uid="{E1C875B7-57B2-4A63-8185-6E024D7CB49D}">
          <x14:formula1>
            <xm:f>'Lists hidden'!$F$2:$F$7</xm:f>
          </x14:formula1>
          <xm:sqref>G2:G199</xm:sqref>
        </x14:dataValidation>
        <x14:dataValidation type="list" allowBlank="1" showInputMessage="1" showErrorMessage="1" xr:uid="{D6ED15DF-485E-4C89-9B7C-39784970BE6E}">
          <x14:formula1>
            <xm:f>'Lists hidden'!$G$2:$G$250</xm:f>
          </x14:formula1>
          <xm:sqref>B2:B199</xm:sqref>
        </x14:dataValidation>
        <x14:dataValidation type="list" allowBlank="1" showInputMessage="1" showErrorMessage="1" xr:uid="{7564B302-5016-4675-A67A-475EDFF0012B}">
          <x14:formula1>
            <xm:f>'Lists hidden'!$H$2:$H$250</xm:f>
          </x14:formula1>
          <xm:sqref>C2:C199</xm:sqref>
        </x14:dataValidation>
        <x14:dataValidation type="list" allowBlank="1" showInputMessage="1" showErrorMessage="1" xr:uid="{D29A2163-F49E-48C7-832B-59D7EA405B1D}">
          <x14:formula1>
            <xm:f>'Lists hidden'!$I$2:$I$250</xm:f>
          </x14:formula1>
          <xm:sqref>H2:H199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I20"/>
  <sheetViews>
    <sheetView workbookViewId="0">
      <selection activeCell="H16" sqref="H16"/>
    </sheetView>
  </sheetViews>
  <sheetFormatPr defaultRowHeight="14.25" x14ac:dyDescent="0.2"/>
  <cols>
    <col min="1" max="1" width="8.5" style="3" bestFit="1" customWidth="1"/>
    <col min="2" max="2" width="11" style="3" bestFit="1" customWidth="1"/>
    <col min="3" max="3" width="13.25" style="3" bestFit="1" customWidth="1"/>
    <col min="4" max="4" width="6.125" style="3" bestFit="1" customWidth="1"/>
    <col min="5" max="5" width="11.875" style="3" bestFit="1" customWidth="1"/>
    <col min="6" max="6" width="8.25" bestFit="1" customWidth="1"/>
    <col min="7" max="7" width="15.875" bestFit="1" customWidth="1"/>
    <col min="8" max="8" width="9" bestFit="1" customWidth="1"/>
    <col min="9" max="9" width="16.25" bestFit="1" customWidth="1"/>
  </cols>
  <sheetData>
    <row r="1" spans="1:9" ht="21.95" customHeight="1" x14ac:dyDescent="0.2">
      <c r="A1" s="6" t="s">
        <v>16</v>
      </c>
      <c r="B1" s="6" t="s">
        <v>24</v>
      </c>
      <c r="C1" s="6" t="s">
        <v>25</v>
      </c>
      <c r="D1" s="6" t="s">
        <v>11</v>
      </c>
      <c r="E1" s="6" t="s">
        <v>17</v>
      </c>
      <c r="F1" s="6" t="s">
        <v>50</v>
      </c>
      <c r="G1" s="6" t="s">
        <v>12</v>
      </c>
      <c r="H1" s="6" t="s">
        <v>40</v>
      </c>
      <c r="I1" s="6" t="s">
        <v>14</v>
      </c>
    </row>
    <row r="2" spans="1:9" x14ac:dyDescent="0.2">
      <c r="A2" s="5" t="s">
        <v>4</v>
      </c>
      <c r="B2" s="5" t="s">
        <v>26</v>
      </c>
      <c r="C2" s="5" t="s">
        <v>27</v>
      </c>
      <c r="D2" s="5" t="s">
        <v>58</v>
      </c>
      <c r="E2" s="5" t="s">
        <v>41</v>
      </c>
      <c r="F2" s="5">
        <v>111111</v>
      </c>
      <c r="G2" s="5" t="s">
        <v>55</v>
      </c>
      <c r="H2" s="5" t="s">
        <v>53</v>
      </c>
      <c r="I2" s="5" t="s">
        <v>57</v>
      </c>
    </row>
    <row r="3" spans="1:9" x14ac:dyDescent="0.2">
      <c r="A3" s="5" t="s">
        <v>5</v>
      </c>
      <c r="B3" s="5" t="s">
        <v>28</v>
      </c>
      <c r="C3" s="5" t="s">
        <v>29</v>
      </c>
      <c r="D3" s="5" t="s">
        <v>64</v>
      </c>
      <c r="E3" s="5" t="s">
        <v>42</v>
      </c>
      <c r="F3" s="5">
        <v>222222</v>
      </c>
      <c r="G3" s="5" t="s">
        <v>61</v>
      </c>
      <c r="H3" s="5" t="s">
        <v>60</v>
      </c>
      <c r="I3" s="5" t="s">
        <v>63</v>
      </c>
    </row>
    <row r="4" spans="1:9" x14ac:dyDescent="0.2">
      <c r="A4" s="5" t="s">
        <v>6</v>
      </c>
      <c r="B4" s="5" t="s">
        <v>30</v>
      </c>
      <c r="C4" s="5" t="s">
        <v>31</v>
      </c>
      <c r="D4" s="5" t="s">
        <v>71</v>
      </c>
      <c r="E4" s="5" t="s">
        <v>43</v>
      </c>
      <c r="F4" s="5">
        <v>333333</v>
      </c>
      <c r="G4" s="5" t="s">
        <v>68</v>
      </c>
      <c r="H4" s="5"/>
      <c r="I4" s="5" t="s">
        <v>70</v>
      </c>
    </row>
    <row r="5" spans="1:9" x14ac:dyDescent="0.2">
      <c r="A5" s="5" t="s">
        <v>8</v>
      </c>
      <c r="B5" s="5" t="s">
        <v>32</v>
      </c>
      <c r="C5" s="5" t="s">
        <v>33</v>
      </c>
      <c r="D5" s="5" t="s">
        <v>74</v>
      </c>
      <c r="E5" s="5" t="s">
        <v>44</v>
      </c>
      <c r="F5" s="5">
        <v>444444</v>
      </c>
      <c r="G5" s="5"/>
      <c r="H5" s="5"/>
      <c r="I5" s="5"/>
    </row>
    <row r="6" spans="1:9" x14ac:dyDescent="0.2">
      <c r="A6" s="5" t="s">
        <v>7</v>
      </c>
      <c r="B6" s="5" t="s">
        <v>34</v>
      </c>
      <c r="C6" s="5" t="s">
        <v>35</v>
      </c>
      <c r="D6" s="5"/>
      <c r="E6" s="5" t="s">
        <v>45</v>
      </c>
      <c r="F6" s="5">
        <v>555555</v>
      </c>
      <c r="G6" s="5"/>
      <c r="H6" s="5"/>
      <c r="I6" s="5"/>
    </row>
    <row r="7" spans="1:9" x14ac:dyDescent="0.2">
      <c r="A7" s="5" t="s">
        <v>36</v>
      </c>
      <c r="B7" s="5"/>
      <c r="C7" s="5" t="s">
        <v>37</v>
      </c>
      <c r="D7" s="5"/>
      <c r="E7" s="5" t="s">
        <v>46</v>
      </c>
      <c r="F7" s="5">
        <v>666666</v>
      </c>
      <c r="G7" s="5"/>
      <c r="H7" s="5"/>
      <c r="I7" s="5"/>
    </row>
    <row r="8" spans="1:9" x14ac:dyDescent="0.2">
      <c r="A8" s="5"/>
      <c r="B8" s="5"/>
      <c r="C8" s="5"/>
      <c r="D8" s="5"/>
      <c r="E8" s="5" t="s">
        <v>47</v>
      </c>
      <c r="F8" s="5"/>
      <c r="G8" s="5"/>
      <c r="H8" s="5"/>
      <c r="I8" s="5"/>
    </row>
    <row r="9" spans="1:9" x14ac:dyDescent="0.2">
      <c r="A9" s="5"/>
      <c r="B9" s="5"/>
      <c r="C9" s="5"/>
      <c r="D9" s="5"/>
      <c r="E9" s="5" t="s">
        <v>48</v>
      </c>
      <c r="F9" s="5"/>
      <c r="G9" s="5"/>
      <c r="H9" s="5"/>
      <c r="I9" s="5"/>
    </row>
    <row r="10" spans="1:9" x14ac:dyDescent="0.2">
      <c r="A10" s="5"/>
      <c r="B10" s="5"/>
      <c r="C10" s="5"/>
      <c r="D10" s="5"/>
      <c r="E10" s="5" t="s">
        <v>49</v>
      </c>
      <c r="F10" s="5"/>
      <c r="G10" s="5"/>
      <c r="H10" s="5"/>
      <c r="I10" s="5"/>
    </row>
    <row r="11" spans="1:9" x14ac:dyDescent="0.2">
      <c r="A11" s="5"/>
      <c r="B11" s="5"/>
      <c r="C11" s="5"/>
      <c r="D11" s="5"/>
      <c r="E11" s="5"/>
      <c r="F11" s="5"/>
      <c r="G11" s="5"/>
      <c r="H11" s="5"/>
      <c r="I11" s="5"/>
    </row>
    <row r="12" spans="1:9" x14ac:dyDescent="0.2">
      <c r="A12" s="5"/>
      <c r="B12" s="5"/>
      <c r="C12" s="5"/>
      <c r="D12" s="5"/>
      <c r="E12" s="5"/>
      <c r="F12" s="5"/>
      <c r="G12" s="5"/>
      <c r="H12" s="5"/>
      <c r="I12" s="5"/>
    </row>
    <row r="13" spans="1:9" x14ac:dyDescent="0.2">
      <c r="A13" s="5"/>
      <c r="B13" s="5"/>
      <c r="C13" s="5"/>
      <c r="D13" s="5"/>
      <c r="E13" s="5"/>
      <c r="F13" s="5"/>
      <c r="G13" s="5"/>
      <c r="H13" s="5"/>
      <c r="I13" s="5"/>
    </row>
    <row r="14" spans="1:9" x14ac:dyDescent="0.2">
      <c r="A14" s="5"/>
      <c r="B14" s="5"/>
      <c r="C14" s="5"/>
      <c r="D14" s="5"/>
      <c r="E14" s="5"/>
      <c r="F14" s="5"/>
      <c r="G14" s="5"/>
      <c r="H14" s="5"/>
      <c r="I14" s="5"/>
    </row>
    <row r="15" spans="1:9" x14ac:dyDescent="0.2">
      <c r="A15" s="5"/>
      <c r="B15" s="5"/>
      <c r="C15" s="5"/>
      <c r="D15" s="5"/>
      <c r="E15" s="5"/>
      <c r="F15" s="5"/>
      <c r="G15" s="5"/>
      <c r="H15" s="5"/>
      <c r="I15" s="5"/>
    </row>
    <row r="16" spans="1:9" x14ac:dyDescent="0.2">
      <c r="A16" s="5"/>
      <c r="B16" s="5"/>
      <c r="C16" s="5"/>
      <c r="D16" s="5"/>
      <c r="E16" s="5"/>
      <c r="F16" s="5"/>
      <c r="G16" s="5"/>
      <c r="H16" s="5"/>
      <c r="I16" s="5"/>
    </row>
    <row r="17" spans="1:9" x14ac:dyDescent="0.2">
      <c r="A17" s="5"/>
      <c r="B17" s="5"/>
      <c r="C17" s="5"/>
      <c r="D17" s="5"/>
      <c r="E17" s="5"/>
      <c r="F17" s="5"/>
      <c r="G17" s="5"/>
      <c r="H17" s="5"/>
      <c r="I17" s="5"/>
    </row>
    <row r="18" spans="1:9" x14ac:dyDescent="0.2">
      <c r="A18" s="5"/>
      <c r="B18" s="5"/>
      <c r="C18" s="5"/>
      <c r="D18" s="5"/>
      <c r="E18" s="5"/>
      <c r="F18" s="5"/>
      <c r="G18" s="5"/>
      <c r="H18" s="5"/>
      <c r="I18" s="5"/>
    </row>
    <row r="19" spans="1:9" x14ac:dyDescent="0.2">
      <c r="A19" s="5"/>
      <c r="B19" s="5"/>
      <c r="C19" s="5"/>
      <c r="D19" s="5"/>
      <c r="E19" s="5"/>
      <c r="F19" s="5"/>
      <c r="G19" s="5"/>
      <c r="H19" s="5"/>
      <c r="I19" s="5"/>
    </row>
    <row r="20" spans="1:9" x14ac:dyDescent="0.2">
      <c r="A20" s="5"/>
      <c r="B20" s="5"/>
      <c r="C20" s="5"/>
      <c r="D20" s="5"/>
      <c r="E20" s="5"/>
      <c r="F20" s="5"/>
      <c r="G20" s="5"/>
      <c r="H20" s="5"/>
      <c r="I20" s="5"/>
    </row>
  </sheetData>
  <pageMargins left="0.75" right="0.75" top="1" bottom="1" header="0.5" footer="0.5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A9"/>
  <sheetViews>
    <sheetView workbookViewId="0">
      <selection activeCell="A39" sqref="A39"/>
    </sheetView>
  </sheetViews>
  <sheetFormatPr defaultRowHeight="14.25" x14ac:dyDescent="0.2"/>
  <cols>
    <col min="1" max="1" width="100" style="3" customWidth="1"/>
  </cols>
  <sheetData>
    <row r="1" spans="1:1" ht="21" customHeight="1" x14ac:dyDescent="0.35">
      <c r="A1" s="2" t="s">
        <v>75</v>
      </c>
    </row>
    <row r="3" spans="1:1" x14ac:dyDescent="0.2">
      <c r="A3" t="s">
        <v>76</v>
      </c>
    </row>
    <row r="4" spans="1:1" x14ac:dyDescent="0.2">
      <c r="A4" t="s">
        <v>77</v>
      </c>
    </row>
    <row r="5" spans="1:1" x14ac:dyDescent="0.2">
      <c r="A5" t="s">
        <v>78</v>
      </c>
    </row>
    <row r="6" spans="1:1" x14ac:dyDescent="0.2">
      <c r="A6" t="s">
        <v>79</v>
      </c>
    </row>
    <row r="7" spans="1:1" x14ac:dyDescent="0.2">
      <c r="A7" t="s">
        <v>80</v>
      </c>
    </row>
    <row r="8" spans="1:1" x14ac:dyDescent="0.2">
      <c r="A8" t="s">
        <v>81</v>
      </c>
    </row>
    <row r="9" spans="1:1" x14ac:dyDescent="0.2">
      <c r="A9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Dashboard</vt:lpstr>
      <vt:lpstr>CAD Archive TEST</vt:lpstr>
      <vt:lpstr>Month-End Snapshot TEST</vt:lpstr>
      <vt:lpstr>CAD Tracker</vt:lpstr>
      <vt:lpstr>Lists hidden</vt:lpstr>
      <vt:lpstr>README</vt:lpstr>
      <vt:lpstr>CADTracker_Batch_ID</vt:lpstr>
      <vt:lpstr>CADTracker_Deliverable_Type</vt:lpstr>
      <vt:lpstr>CADTracker_Item</vt:lpstr>
      <vt:lpstr>CADTracker_Owner</vt:lpstr>
      <vt:lpstr>CADTracker_Plan_End</vt:lpstr>
      <vt:lpstr>CADTracker_Priority</vt:lpstr>
      <vt:lpstr>CADTracker_Project</vt:lpstr>
      <vt:lpstr>CADTracker_Qty</vt:lpstr>
      <vt:lpstr>CADTracker_Request_Type</vt:lpstr>
      <vt:lpstr>CADTracker_Start_Date</vt:lpstr>
      <vt:lpstr>CADTracker_Status</vt:lpstr>
      <vt:lpstr>CADTracker_Task</vt:lpstr>
      <vt:lpstr>CADTracker_Tracker_ID</vt:lpstr>
      <vt:lpstr>CADTracker_WE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MKS / Karin</cp:lastModifiedBy>
  <dcterms:created xsi:type="dcterms:W3CDTF">2026-07-01T02:31:41Z</dcterms:created>
  <dcterms:modified xsi:type="dcterms:W3CDTF">2026-07-02T03:24:17Z</dcterms:modified>
</cp:coreProperties>
</file>